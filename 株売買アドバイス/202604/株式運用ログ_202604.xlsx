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週次ログ" sheetId="1" state="visible" r:id="rId1"/>
    <sheet name="ポートフォリオ推移" sheetId="2" state="visible" r:id="rId2"/>
    <sheet name="AIアドバイス評価" sheetId="3" state="visible" r:id="rId3"/>
    <sheet name="現在ポートフォリ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"/>
    <numFmt numFmtId="165" formatCode="#,##0.###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70C0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right"/>
    </xf>
    <xf numFmtId="3" fontId="2" fillId="3" borderId="1" applyAlignment="1" pivotButton="0" quotePrefix="0" xfId="0">
      <alignment horizontal="right"/>
    </xf>
    <xf numFmtId="3" fontId="3" fillId="4" borderId="1" applyAlignment="1" pivotButton="0" quotePrefix="0" xfId="0">
      <alignment horizontal="right"/>
    </xf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0" fillId="5" borderId="1" pivotButton="0" quotePrefix="0" xfId="0"/>
    <xf numFmtId="3" fontId="1" fillId="5" borderId="1" applyAlignment="1" pivotButton="0" quotePrefix="0" xfId="0">
      <alignment horizontal="right"/>
    </xf>
    <xf numFmtId="10" fontId="3" fillId="4" borderId="1" applyAlignment="1" pivotButton="0" quotePrefix="0" xfId="0">
      <alignment horizontal="center"/>
    </xf>
    <xf numFmtId="164" fontId="2" fillId="3" borderId="1" applyAlignment="1" pivotButton="0" quotePrefix="0" xfId="0">
      <alignment horizontal="right"/>
    </xf>
    <xf numFmtId="10" fontId="2" fillId="3" borderId="1" applyAlignment="1" pivotButton="0" quotePrefix="0" xfId="0">
      <alignment horizontal="center"/>
    </xf>
    <xf numFmtId="164" fontId="3" fillId="4" borderId="1" applyAlignment="1" pivotButton="0" quotePrefix="0" xfId="0">
      <alignment horizontal="right"/>
    </xf>
    <xf numFmtId="165" fontId="2" fillId="3" borderId="1" applyAlignment="1" pivotButton="0" quotePrefix="0" xfId="0">
      <alignment horizontal="right"/>
    </xf>
    <xf numFmtId="0" fontId="1" fillId="5" borderId="1" pivotButton="0" quotePrefix="0" xfId="0"/>
    <xf numFmtId="164" fontId="1" fillId="5" borderId="1" applyAlignment="1" pivotButton="0" quotePrefix="0" xfId="0">
      <alignment horizontal="right"/>
    </xf>
    <xf numFmtId="10" fontId="1" fillId="5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right" vertical="center"/>
    </xf>
    <xf numFmtId="10" fontId="3" fillId="4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20" customWidth="1" min="4" max="4"/>
    <col width="16" customWidth="1" min="5" max="5"/>
    <col width="8" customWidth="1" min="6" max="6"/>
    <col width="12" customWidth="1" min="7" max="7"/>
    <col width="14" customWidth="1" min="8" max="8"/>
    <col width="40" customWidth="1" min="9" max="9"/>
    <col width="10" customWidth="1" min="10" max="10"/>
    <col width="30" customWidth="1" min="11" max="11"/>
  </cols>
  <sheetData>
    <row r="1" ht="25" customHeight="1">
      <c r="A1" s="1" t="inlineStr">
        <is>
          <t>週</t>
        </is>
      </c>
      <c r="B1" s="1" t="inlineStr">
        <is>
          <t>日付</t>
        </is>
      </c>
      <c r="C1" s="1" t="inlineStr">
        <is>
          <t>銘柄コード</t>
        </is>
      </c>
      <c r="D1" s="1" t="inlineStr">
        <is>
          <t>銘柄名</t>
        </is>
      </c>
      <c r="E1" s="1" t="inlineStr">
        <is>
          <t>売買区分</t>
        </is>
      </c>
      <c r="F1" s="1" t="inlineStr">
        <is>
          <t>株数</t>
        </is>
      </c>
      <c r="G1" s="1" t="inlineStr">
        <is>
          <t>価格(円)</t>
        </is>
      </c>
      <c r="H1" s="1" t="inlineStr">
        <is>
          <t>金額(自動)</t>
        </is>
      </c>
      <c r="I1" s="1" t="inlineStr">
        <is>
          <t>AI推奨理由</t>
        </is>
      </c>
      <c r="J1" s="1" t="inlineStr">
        <is>
          <t>実績評価</t>
        </is>
      </c>
      <c r="K1" s="1" t="inlineStr">
        <is>
          <t>メモ</t>
        </is>
      </c>
    </row>
    <row r="2">
      <c r="A2" s="2" t="inlineStr">
        <is>
          <t>第1週</t>
        </is>
      </c>
      <c r="B2" s="2" t="inlineStr">
        <is>
          <t>2026/3/21</t>
        </is>
      </c>
      <c r="C2" s="2" t="inlineStr">
        <is>
          <t>290A</t>
        </is>
      </c>
      <c r="D2" s="3" t="inlineStr">
        <is>
          <t>Synspective</t>
        </is>
      </c>
      <c r="E2" s="2" t="inlineStr">
        <is>
          <t>保有継続</t>
        </is>
      </c>
      <c r="F2" s="4" t="n">
        <v>100</v>
      </c>
      <c r="G2" s="5" t="n">
        <v>1367</v>
      </c>
      <c r="H2" s="6">
        <f>F2*G2</f>
        <v/>
      </c>
      <c r="I2" s="7" t="inlineStr">
        <is>
          <t>初回記録</t>
        </is>
      </c>
      <c r="J2" s="2" t="inlineStr">
        <is>
          <t>△</t>
        </is>
      </c>
      <c r="K2" s="7" t="inlineStr"/>
    </row>
    <row r="3">
      <c r="A3" s="2" t="inlineStr">
        <is>
          <t>第1週</t>
        </is>
      </c>
      <c r="B3" s="2" t="inlineStr">
        <is>
          <t>2026/3/21</t>
        </is>
      </c>
      <c r="C3" s="2" t="inlineStr">
        <is>
          <t>4661</t>
        </is>
      </c>
      <c r="D3" s="3" t="inlineStr">
        <is>
          <t>オリエンタルランド</t>
        </is>
      </c>
      <c r="E3" s="2" t="inlineStr">
        <is>
          <t>保有継続</t>
        </is>
      </c>
      <c r="F3" s="4" t="n">
        <v>17.88</v>
      </c>
      <c r="G3" s="5" t="n">
        <v>2724</v>
      </c>
      <c r="H3" s="6">
        <f>F3*G3</f>
        <v/>
      </c>
      <c r="I3" s="7" t="inlineStr">
        <is>
          <t>初回記録</t>
        </is>
      </c>
      <c r="J3" s="2" t="inlineStr">
        <is>
          <t>△</t>
        </is>
      </c>
      <c r="K3" s="7" t="inlineStr"/>
    </row>
    <row r="4">
      <c r="A4" s="2" t="inlineStr">
        <is>
          <t>第1週</t>
        </is>
      </c>
      <c r="B4" s="2" t="inlineStr">
        <is>
          <t>2026/3/21</t>
        </is>
      </c>
      <c r="C4" s="2" t="inlineStr">
        <is>
          <t>6146</t>
        </is>
      </c>
      <c r="D4" s="3" t="inlineStr">
        <is>
          <t>ディスコ</t>
        </is>
      </c>
      <c r="E4" s="2" t="inlineStr">
        <is>
          <t>保有継続</t>
        </is>
      </c>
      <c r="F4" s="4" t="n">
        <v>0.414</v>
      </c>
      <c r="G4" s="5" t="n">
        <v>69580</v>
      </c>
      <c r="H4" s="6">
        <f>F4*G4</f>
        <v/>
      </c>
      <c r="I4" s="7" t="inlineStr">
        <is>
          <t>初回記録</t>
        </is>
      </c>
      <c r="J4" s="2" t="inlineStr">
        <is>
          <t>△</t>
        </is>
      </c>
      <c r="K4" s="7" t="inlineStr"/>
    </row>
    <row r="5">
      <c r="A5" s="2" t="inlineStr">
        <is>
          <t>第1週</t>
        </is>
      </c>
      <c r="B5" s="2" t="inlineStr">
        <is>
          <t>2026/3/21</t>
        </is>
      </c>
      <c r="C5" s="2" t="inlineStr">
        <is>
          <t>6460</t>
        </is>
      </c>
      <c r="D5" s="3" t="inlineStr">
        <is>
          <t>セガサミーHD</t>
        </is>
      </c>
      <c r="E5" s="2" t="inlineStr">
        <is>
          <t>保有継続</t>
        </is>
      </c>
      <c r="F5" s="4" t="n">
        <v>0.751</v>
      </c>
      <c r="G5" s="5" t="n">
        <v>2553</v>
      </c>
      <c r="H5" s="6">
        <f>F5*G5</f>
        <v/>
      </c>
      <c r="I5" s="7" t="inlineStr">
        <is>
          <t>初回記録</t>
        </is>
      </c>
      <c r="J5" s="2" t="inlineStr">
        <is>
          <t>△</t>
        </is>
      </c>
      <c r="K5" s="7" t="inlineStr"/>
    </row>
    <row r="6">
      <c r="A6" s="2" t="inlineStr">
        <is>
          <t>第1週</t>
        </is>
      </c>
      <c r="B6" s="2" t="inlineStr">
        <is>
          <t>2026/3/21</t>
        </is>
      </c>
      <c r="C6" s="2" t="inlineStr">
        <is>
          <t>6758</t>
        </is>
      </c>
      <c r="D6" s="3" t="inlineStr">
        <is>
          <t>ソニーグループ</t>
        </is>
      </c>
      <c r="E6" s="2" t="inlineStr">
        <is>
          <t>保有継続</t>
        </is>
      </c>
      <c r="F6" s="4" t="n">
        <v>50</v>
      </c>
      <c r="G6" s="5" t="n">
        <v>3271</v>
      </c>
      <c r="H6" s="6">
        <f>F6*G6</f>
        <v/>
      </c>
      <c r="I6" s="7" t="inlineStr">
        <is>
          <t>初回記録</t>
        </is>
      </c>
      <c r="J6" s="2" t="inlineStr">
        <is>
          <t>△</t>
        </is>
      </c>
      <c r="K6" s="7" t="inlineStr"/>
    </row>
    <row r="7">
      <c r="A7" s="2" t="inlineStr">
        <is>
          <t>第1週</t>
        </is>
      </c>
      <c r="B7" s="2" t="inlineStr">
        <is>
          <t>2026/3/21</t>
        </is>
      </c>
      <c r="C7" s="2" t="inlineStr">
        <is>
          <t>6857</t>
        </is>
      </c>
      <c r="D7" s="3" t="inlineStr">
        <is>
          <t>アドバンテスト</t>
        </is>
      </c>
      <c r="E7" s="2" t="inlineStr">
        <is>
          <t>保有継続</t>
        </is>
      </c>
      <c r="F7" s="4" t="n">
        <v>1.89</v>
      </c>
      <c r="G7" s="5" t="n">
        <v>23980</v>
      </c>
      <c r="H7" s="6">
        <f>F7*G7</f>
        <v/>
      </c>
      <c r="I7" s="7" t="inlineStr">
        <is>
          <t>初回記録</t>
        </is>
      </c>
      <c r="J7" s="2" t="inlineStr">
        <is>
          <t>△</t>
        </is>
      </c>
      <c r="K7" s="7" t="inlineStr"/>
    </row>
    <row r="8">
      <c r="A8" s="2" t="inlineStr">
        <is>
          <t>第1週</t>
        </is>
      </c>
      <c r="B8" s="2" t="inlineStr">
        <is>
          <t>2026/3/21</t>
        </is>
      </c>
      <c r="C8" s="2" t="inlineStr">
        <is>
          <t>6954</t>
        </is>
      </c>
      <c r="D8" s="3" t="inlineStr">
        <is>
          <t>ファナック</t>
        </is>
      </c>
      <c r="E8" s="2" t="inlineStr">
        <is>
          <t>保有継続</t>
        </is>
      </c>
      <c r="F8" s="4" t="n">
        <v>7.23</v>
      </c>
      <c r="G8" s="5" t="n">
        <v>5936</v>
      </c>
      <c r="H8" s="6">
        <f>F8*G8</f>
        <v/>
      </c>
      <c r="I8" s="7" t="inlineStr">
        <is>
          <t>初回記録</t>
        </is>
      </c>
      <c r="J8" s="2" t="inlineStr">
        <is>
          <t>△</t>
        </is>
      </c>
      <c r="K8" s="7" t="inlineStr"/>
    </row>
    <row r="9">
      <c r="A9" s="2" t="inlineStr">
        <is>
          <t>第1週</t>
        </is>
      </c>
      <c r="B9" s="2" t="inlineStr">
        <is>
          <t>2026/3/21</t>
        </is>
      </c>
      <c r="C9" s="2" t="inlineStr">
        <is>
          <t>7011</t>
        </is>
      </c>
      <c r="D9" s="3" t="inlineStr">
        <is>
          <t>三菱重工業</t>
        </is>
      </c>
      <c r="E9" s="2" t="inlineStr">
        <is>
          <t>保有継続</t>
        </is>
      </c>
      <c r="F9" s="4" t="n">
        <v>19.59</v>
      </c>
      <c r="G9" s="5" t="n">
        <v>4848</v>
      </c>
      <c r="H9" s="6">
        <f>F9*G9</f>
        <v/>
      </c>
      <c r="I9" s="7" t="inlineStr">
        <is>
          <t>初回記録</t>
        </is>
      </c>
      <c r="J9" s="2" t="inlineStr">
        <is>
          <t>△</t>
        </is>
      </c>
      <c r="K9" s="7" t="inlineStr"/>
    </row>
    <row r="10">
      <c r="A10" s="2" t="inlineStr">
        <is>
          <t>第1週</t>
        </is>
      </c>
      <c r="B10" s="2" t="inlineStr">
        <is>
          <t>2026/3/21</t>
        </is>
      </c>
      <c r="C10" s="2" t="inlineStr">
        <is>
          <t>7735</t>
        </is>
      </c>
      <c r="D10" s="3" t="inlineStr">
        <is>
          <t>SCREENホールディングス</t>
        </is>
      </c>
      <c r="E10" s="2" t="inlineStr">
        <is>
          <t>保有継続</t>
        </is>
      </c>
      <c r="F10" s="4" t="n">
        <v>1.33</v>
      </c>
      <c r="G10" s="5" t="n">
        <v>19895</v>
      </c>
      <c r="H10" s="6">
        <f>F10*G10</f>
        <v/>
      </c>
      <c r="I10" s="7" t="inlineStr">
        <is>
          <t>初回記録</t>
        </is>
      </c>
      <c r="J10" s="2" t="inlineStr">
        <is>
          <t>△</t>
        </is>
      </c>
      <c r="K10" s="7" t="inlineStr"/>
    </row>
    <row r="11">
      <c r="A11" s="2" t="inlineStr">
        <is>
          <t>第1週</t>
        </is>
      </c>
      <c r="B11" s="2" t="inlineStr">
        <is>
          <t>2026/3/21</t>
        </is>
      </c>
      <c r="C11" s="2" t="inlineStr">
        <is>
          <t>7974</t>
        </is>
      </c>
      <c r="D11" s="3" t="inlineStr">
        <is>
          <t>任天堂</t>
        </is>
      </c>
      <c r="E11" s="2" t="inlineStr">
        <is>
          <t>保有継続</t>
        </is>
      </c>
      <c r="F11" s="4" t="n">
        <v>11.73</v>
      </c>
      <c r="G11" s="5" t="n">
        <v>9734</v>
      </c>
      <c r="H11" s="6">
        <f>F11*G11</f>
        <v/>
      </c>
      <c r="I11" s="7" t="inlineStr">
        <is>
          <t>初回記録</t>
        </is>
      </c>
      <c r="J11" s="2" t="inlineStr">
        <is>
          <t>△</t>
        </is>
      </c>
      <c r="K11" s="7" t="inlineStr"/>
    </row>
    <row r="12">
      <c r="A12" s="2" t="inlineStr">
        <is>
          <t>第1週</t>
        </is>
      </c>
      <c r="B12" s="2" t="inlineStr">
        <is>
          <t>2026/3/21</t>
        </is>
      </c>
      <c r="C12" s="2" t="inlineStr">
        <is>
          <t>8035</t>
        </is>
      </c>
      <c r="D12" s="3" t="inlineStr">
        <is>
          <t>東京エレクトロン</t>
        </is>
      </c>
      <c r="E12" s="2" t="inlineStr">
        <is>
          <t>保有継続</t>
        </is>
      </c>
      <c r="F12" s="4" t="n">
        <v>0.228</v>
      </c>
      <c r="G12" s="5" t="n">
        <v>39330</v>
      </c>
      <c r="H12" s="6">
        <f>F12*G12</f>
        <v/>
      </c>
      <c r="I12" s="7" t="inlineStr">
        <is>
          <t>初回記録</t>
        </is>
      </c>
      <c r="J12" s="2" t="inlineStr">
        <is>
          <t>△</t>
        </is>
      </c>
      <c r="K12" s="7" t="inlineStr"/>
    </row>
    <row r="13">
      <c r="A13" s="2" t="inlineStr">
        <is>
          <t>第1週</t>
        </is>
      </c>
      <c r="B13" s="2" t="inlineStr">
        <is>
          <t>2026/3/21</t>
        </is>
      </c>
      <c r="C13" s="2" t="inlineStr">
        <is>
          <t>9983</t>
        </is>
      </c>
      <c r="D13" s="3" t="inlineStr">
        <is>
          <t>ファーストリテイリング</t>
        </is>
      </c>
      <c r="E13" s="2" t="inlineStr">
        <is>
          <t>保有継続</t>
        </is>
      </c>
      <c r="F13" s="4" t="n">
        <v>0.149</v>
      </c>
      <c r="G13" s="5" t="n">
        <v>63430</v>
      </c>
      <c r="H13" s="6">
        <f>F13*G13</f>
        <v/>
      </c>
      <c r="I13" s="7" t="inlineStr">
        <is>
          <t>初回記録</t>
        </is>
      </c>
      <c r="J13" s="2" t="inlineStr">
        <is>
          <t>△</t>
        </is>
      </c>
      <c r="K13" s="7" t="inlineStr"/>
    </row>
    <row r="14">
      <c r="A14" s="8" t="inlineStr">
        <is>
          <t>合計</t>
        </is>
      </c>
      <c r="B14" s="9" t="n"/>
      <c r="C14" s="9" t="n"/>
      <c r="D14" s="9" t="n"/>
      <c r="E14" s="9" t="n"/>
      <c r="F14" s="9" t="n"/>
      <c r="G14" s="9" t="n"/>
      <c r="H14" s="10">
        <f>SUM(H2:H13)</f>
        <v/>
      </c>
      <c r="I14" s="9" t="n"/>
      <c r="J14" s="9" t="n"/>
      <c r="K14" s="9" t="n"/>
    </row>
    <row r="15">
      <c r="A15" s="19" t="inlineStr">
        <is>
          <t>第1週(4月)</t>
        </is>
      </c>
      <c r="B15" s="19" t="inlineStr">
        <is>
          <t>2026/4/14</t>
        </is>
      </c>
      <c r="C15" s="19" t="inlineStr">
        <is>
          <t>290A</t>
        </is>
      </c>
      <c r="D15" s="20" t="inlineStr">
        <is>
          <t>Synspective</t>
        </is>
      </c>
      <c r="E15" s="19" t="inlineStr">
        <is>
          <t>保有継続</t>
        </is>
      </c>
      <c r="F15" s="21" t="n">
        <v>100</v>
      </c>
      <c r="G15" s="22" t="n">
        <v>1368</v>
      </c>
      <c r="H15" s="23">
        <f>F15*G15</f>
        <v/>
      </c>
      <c r="I15" s="20" t="inlineStr">
        <is>
          <t>宇宙・防衛テーマ継続。中東紛争で注目度維持</t>
        </is>
      </c>
      <c r="J15" s="19" t="inlineStr">
        <is>
          <t>△</t>
        </is>
      </c>
      <c r="K15" s="20" t="inlineStr">
        <is>
          <t>来週の停戦協議結果・決算ガイダンスを確認</t>
        </is>
      </c>
    </row>
    <row r="16">
      <c r="A16" s="19" t="inlineStr">
        <is>
          <t>第1週(4月)</t>
        </is>
      </c>
      <c r="B16" s="19" t="inlineStr">
        <is>
          <t>2026/4/14</t>
        </is>
      </c>
      <c r="C16" s="19" t="inlineStr">
        <is>
          <t>4661</t>
        </is>
      </c>
      <c r="D16" s="20" t="inlineStr">
        <is>
          <t>オリエンタルランド</t>
        </is>
      </c>
      <c r="E16" s="19" t="inlineStr">
        <is>
          <t>保有継続</t>
        </is>
      </c>
      <c r="F16" s="21" t="n">
        <v>17.88</v>
      </c>
      <c r="G16" s="22" t="n">
        <v>2608</v>
      </c>
      <c r="H16" s="23">
        <f>F16*G16</f>
        <v/>
      </c>
      <c r="I16" s="20" t="inlineStr">
        <is>
          <t>インバウンド底堅いが円高リスクに注意</t>
        </is>
      </c>
      <c r="J16" s="19" t="inlineStr">
        <is>
          <t>△</t>
        </is>
      </c>
      <c r="K16" s="20" t="inlineStr">
        <is>
          <t>来週の停戦協議結果・決算ガイダンスを確認</t>
        </is>
      </c>
    </row>
    <row r="17">
      <c r="A17" s="19" t="inlineStr">
        <is>
          <t>第1週(4月)</t>
        </is>
      </c>
      <c r="B17" s="19" t="inlineStr">
        <is>
          <t>2026/4/14</t>
        </is>
      </c>
      <c r="C17" s="19" t="inlineStr">
        <is>
          <t>6146</t>
        </is>
      </c>
      <c r="D17" s="20" t="inlineStr">
        <is>
          <t>ディスコ</t>
        </is>
      </c>
      <c r="E17" s="19" t="inlineStr">
        <is>
          <t>保有継続</t>
        </is>
      </c>
      <c r="F17" s="21" t="n">
        <v>0.414</v>
      </c>
      <c r="G17" s="22" t="n">
        <v>71062</v>
      </c>
      <c r="H17" s="23">
        <f>F17*G17</f>
        <v/>
      </c>
      <c r="I17" s="20" t="inlineStr">
        <is>
          <t>半導体需要回復で含み損縮小傾向</t>
        </is>
      </c>
      <c r="J17" s="19" t="inlineStr">
        <is>
          <t>△</t>
        </is>
      </c>
      <c r="K17" s="20" t="inlineStr">
        <is>
          <t>来週の停戦協議結果・決算ガイダンスを確認</t>
        </is>
      </c>
    </row>
    <row r="18">
      <c r="A18" s="19" t="inlineStr">
        <is>
          <t>第1週(4月)</t>
        </is>
      </c>
      <c r="B18" s="19" t="inlineStr">
        <is>
          <t>2026/4/14</t>
        </is>
      </c>
      <c r="C18" s="19" t="inlineStr">
        <is>
          <t>6460</t>
        </is>
      </c>
      <c r="D18" s="20" t="inlineStr">
        <is>
          <t>セガサミーHD</t>
        </is>
      </c>
      <c r="E18" s="19" t="inlineStr">
        <is>
          <t>保有継続</t>
        </is>
      </c>
      <c r="F18" s="21" t="n">
        <v>0.751</v>
      </c>
      <c r="G18" s="22" t="n">
        <v>2551</v>
      </c>
      <c r="H18" s="23">
        <f>F18*G18</f>
        <v/>
      </c>
      <c r="I18" s="20" t="inlineStr">
        <is>
          <t>ポジション微小。動向監視</t>
        </is>
      </c>
      <c r="J18" s="19" t="inlineStr">
        <is>
          <t>△</t>
        </is>
      </c>
      <c r="K18" s="20" t="inlineStr">
        <is>
          <t>来週の停戦協議結果・決算ガイダンスを確認</t>
        </is>
      </c>
    </row>
    <row r="19">
      <c r="A19" s="19" t="inlineStr">
        <is>
          <t>第1週(4月)</t>
        </is>
      </c>
      <c r="B19" s="19" t="inlineStr">
        <is>
          <t>2026/4/14</t>
        </is>
      </c>
      <c r="C19" s="19" t="inlineStr">
        <is>
          <t>6758</t>
        </is>
      </c>
      <c r="D19" s="20" t="inlineStr">
        <is>
          <t>ソニーグループ</t>
        </is>
      </c>
      <c r="E19" s="19" t="inlineStr">
        <is>
          <t>保有継続</t>
        </is>
      </c>
      <c r="F19" s="21" t="n">
        <v>50</v>
      </c>
      <c r="G19" s="22" t="n">
        <v>3302</v>
      </c>
      <c r="H19" s="23">
        <f>F19*G19</f>
        <v/>
      </c>
      <c r="I19" s="20" t="inlineStr">
        <is>
          <t>エンタメ・半導体部門安定。含み益維持</t>
        </is>
      </c>
      <c r="J19" s="19" t="inlineStr">
        <is>
          <t>○</t>
        </is>
      </c>
      <c r="K19" s="20" t="inlineStr">
        <is>
          <t>来週の停戦協議結果・決算ガイダンスを確認</t>
        </is>
      </c>
    </row>
    <row r="20">
      <c r="A20" s="19" t="inlineStr">
        <is>
          <t>第1週(4月)</t>
        </is>
      </c>
      <c r="B20" s="19" t="inlineStr">
        <is>
          <t>2026/4/14</t>
        </is>
      </c>
      <c r="C20" s="19" t="inlineStr">
        <is>
          <t>6857</t>
        </is>
      </c>
      <c r="D20" s="20" t="inlineStr">
        <is>
          <t>アドバンテスト</t>
        </is>
      </c>
      <c r="E20" s="19" t="inlineStr">
        <is>
          <t>保有継続</t>
        </is>
      </c>
      <c r="F20" s="21" t="n">
        <v>1.89</v>
      </c>
      <c r="G20" s="22" t="n">
        <v>26808</v>
      </c>
      <c r="H20" s="23">
        <f>F20*G20</f>
        <v/>
      </c>
      <c r="I20" s="20" t="inlineStr">
        <is>
          <t>AI向けテスタ需要過去最高。決算好調で注目</t>
        </is>
      </c>
      <c r="J20" s="19" t="inlineStr">
        <is>
          <t>○</t>
        </is>
      </c>
      <c r="K20" s="20" t="inlineStr">
        <is>
          <t>来週の停戦協議結果・決算ガイダンスを確認</t>
        </is>
      </c>
    </row>
    <row r="21">
      <c r="A21" s="19" t="inlineStr">
        <is>
          <t>第1週(4月)</t>
        </is>
      </c>
      <c r="B21" s="19" t="inlineStr">
        <is>
          <t>2026/4/14</t>
        </is>
      </c>
      <c r="C21" s="19" t="inlineStr">
        <is>
          <t>6954</t>
        </is>
      </c>
      <c r="D21" s="20" t="inlineStr">
        <is>
          <t>ファナック</t>
        </is>
      </c>
      <c r="E21" s="19" t="inlineStr">
        <is>
          <t>様子見</t>
        </is>
      </c>
      <c r="F21" s="21" t="n">
        <v>7.23</v>
      </c>
      <c r="G21" s="22" t="n">
        <v>6269</v>
      </c>
      <c r="H21" s="23">
        <f>F21*G21</f>
        <v/>
      </c>
      <c r="I21" s="20" t="inlineStr">
        <is>
          <t>中国需要回復待ち。原油高は製造業に逆風</t>
        </is>
      </c>
      <c r="J21" s="19" t="inlineStr">
        <is>
          <t>△</t>
        </is>
      </c>
      <c r="K21" s="20" t="inlineStr">
        <is>
          <t>来週の停戦協議結果・決算ガイダンスを確認</t>
        </is>
      </c>
    </row>
    <row r="22">
      <c r="A22" s="19" t="inlineStr">
        <is>
          <t>第1週(4月)</t>
        </is>
      </c>
      <c r="B22" s="19" t="inlineStr">
        <is>
          <t>2026/4/14</t>
        </is>
      </c>
      <c r="C22" s="19" t="inlineStr">
        <is>
          <t>7011</t>
        </is>
      </c>
      <c r="D22" s="20" t="inlineStr">
        <is>
          <t>三菱重工業</t>
        </is>
      </c>
      <c r="E22" s="19" t="inlineStr">
        <is>
          <t>様子見</t>
        </is>
      </c>
      <c r="F22" s="21" t="n">
        <v>19.59</v>
      </c>
      <c r="G22" s="22" t="n">
        <v>4774</v>
      </c>
      <c r="H22" s="23">
        <f>F22*G22</f>
        <v/>
      </c>
      <c r="I22" s="20" t="inlineStr">
        <is>
          <t>停戦協議進展で防衛プレミアム剥落リスク</t>
        </is>
      </c>
      <c r="J22" s="19" t="inlineStr">
        <is>
          <t>△</t>
        </is>
      </c>
      <c r="K22" s="20" t="inlineStr">
        <is>
          <t>来週の停戦協議結果・決算ガイダンスを確認</t>
        </is>
      </c>
    </row>
    <row r="23">
      <c r="A23" s="19" t="inlineStr">
        <is>
          <t>第1週(4月)</t>
        </is>
      </c>
      <c r="B23" s="19" t="inlineStr">
        <is>
          <t>2026/4/14</t>
        </is>
      </c>
      <c r="C23" s="19" t="inlineStr">
        <is>
          <t>7735</t>
        </is>
      </c>
      <c r="D23" s="20" t="inlineStr">
        <is>
          <t>SCREENホールディングス</t>
        </is>
      </c>
      <c r="E23" s="19" t="inlineStr">
        <is>
          <t>保有継続</t>
        </is>
      </c>
      <c r="F23" s="21" t="n">
        <v>1.33</v>
      </c>
      <c r="G23" s="22" t="n">
        <v>22435</v>
      </c>
      <c r="H23" s="23">
        <f>F23*G23</f>
        <v/>
      </c>
      <c r="I23" s="20" t="inlineStr">
        <is>
          <t>半導体装置需要回復。含み損ほぼ解消</t>
        </is>
      </c>
      <c r="J23" s="19" t="inlineStr">
        <is>
          <t>○</t>
        </is>
      </c>
      <c r="K23" s="20" t="inlineStr">
        <is>
          <t>来週の停戦協議結果・決算ガイダンスを確認</t>
        </is>
      </c>
    </row>
    <row r="24">
      <c r="A24" s="19" t="inlineStr">
        <is>
          <t>第1週(4月)</t>
        </is>
      </c>
      <c r="B24" s="19" t="inlineStr">
        <is>
          <t>2026/4/14</t>
        </is>
      </c>
      <c r="C24" s="19" t="inlineStr">
        <is>
          <t>7974</t>
        </is>
      </c>
      <c r="D24" s="20" t="inlineStr">
        <is>
          <t>任天堂</t>
        </is>
      </c>
      <c r="E24" s="19" t="inlineStr">
        <is>
          <t>様子見</t>
        </is>
      </c>
      <c r="F24" s="21" t="n">
        <v>11.73</v>
      </c>
      <c r="G24" s="22" t="n">
        <v>8318</v>
      </c>
      <c r="H24" s="23">
        <f>F24*G24</f>
        <v/>
      </c>
      <c r="I24" s="20" t="inlineStr">
        <is>
          <t>Switch2生産削減で下落継続。反転確認まで慎重</t>
        </is>
      </c>
      <c r="J24" s="19" t="inlineStr">
        <is>
          <t>×</t>
        </is>
      </c>
      <c r="K24" s="20" t="inlineStr">
        <is>
          <t>Switch2実売データ・次回決算ガイダンスを確認</t>
        </is>
      </c>
    </row>
    <row r="25">
      <c r="A25" s="19" t="inlineStr">
        <is>
          <t>第1週(4月)</t>
        </is>
      </c>
      <c r="B25" s="19" t="inlineStr">
        <is>
          <t>2026/4/14</t>
        </is>
      </c>
      <c r="C25" s="19" t="inlineStr">
        <is>
          <t>8035</t>
        </is>
      </c>
      <c r="D25" s="20" t="inlineStr">
        <is>
          <t>東京エレクトロン</t>
        </is>
      </c>
      <c r="E25" s="19" t="inlineStr">
        <is>
          <t>保有継続</t>
        </is>
      </c>
      <c r="F25" s="21" t="n">
        <v>0.228</v>
      </c>
      <c r="G25" s="22" t="n">
        <v>43632</v>
      </c>
      <c r="H25" s="23">
        <f>F25*G25</f>
        <v/>
      </c>
      <c r="I25" s="20" t="inlineStr">
        <is>
          <t>AI投資拡大で中長期は期待維持</t>
        </is>
      </c>
      <c r="J25" s="19" t="inlineStr">
        <is>
          <t>△</t>
        </is>
      </c>
      <c r="K25" s="20" t="inlineStr">
        <is>
          <t>来週の停戦協議結果・決算ガイダンスを確認</t>
        </is>
      </c>
    </row>
    <row r="26">
      <c r="A26" s="19" t="inlineStr">
        <is>
          <t>第1週(4月)</t>
        </is>
      </c>
      <c r="B26" s="19" t="inlineStr">
        <is>
          <t>2026/4/14</t>
        </is>
      </c>
      <c r="C26" s="19" t="inlineStr">
        <is>
          <t>9983</t>
        </is>
      </c>
      <c r="D26" s="20" t="inlineStr">
        <is>
          <t>ファーストリテイリング</t>
        </is>
      </c>
      <c r="E26" s="19" t="inlineStr">
        <is>
          <t>保有継続</t>
        </is>
      </c>
      <c r="F26" s="21" t="n">
        <v>0.149</v>
      </c>
      <c r="G26" s="22" t="n">
        <v>75027</v>
      </c>
      <c r="H26" s="23">
        <f>F26*G26</f>
        <v/>
      </c>
      <c r="I26" s="20" t="inlineStr">
        <is>
          <t>国内消費強く最高パフォーマンス。利確タイミング検討</t>
        </is>
      </c>
      <c r="J26" s="19" t="inlineStr">
        <is>
          <t>○</t>
        </is>
      </c>
      <c r="K26" s="20" t="inlineStr">
        <is>
          <t>来週の停戦協議結果・決算ガイダンスを確認</t>
        </is>
      </c>
    </row>
    <row r="27">
      <c r="A27" s="19" t="inlineStr">
        <is>
          <t>第2週(4月)</t>
        </is>
      </c>
      <c r="B27" s="19" t="inlineStr">
        <is>
          <t>2026/4/19</t>
        </is>
      </c>
      <c r="C27" s="19" t="inlineStr">
        <is>
          <t>290A</t>
        </is>
      </c>
      <c r="D27" s="20" t="inlineStr">
        <is>
          <t>Synspective</t>
        </is>
      </c>
      <c r="E27" s="19" t="inlineStr">
        <is>
          <t>保有継続</t>
        </is>
      </c>
      <c r="F27" s="21" t="n">
        <v>100</v>
      </c>
      <c r="G27" s="22" t="n">
        <v>1363</v>
      </c>
      <c r="H27" s="23">
        <f>F27*G27</f>
        <v/>
      </c>
      <c r="I27" s="20" t="inlineStr">
        <is>
          <t>宇宙・防衛テーマ継続</t>
        </is>
      </c>
      <c r="J27" s="19" t="inlineStr">
        <is>
          <t>△</t>
        </is>
      </c>
      <c r="K27" s="20" t="inlineStr">
        <is>
          <t>停戦協議・決算ガイダンス確認</t>
        </is>
      </c>
    </row>
    <row r="28">
      <c r="A28" s="19" t="inlineStr">
        <is>
          <t>第2週(4月)</t>
        </is>
      </c>
      <c r="B28" s="19" t="inlineStr">
        <is>
          <t>2026/4/19</t>
        </is>
      </c>
      <c r="C28" s="19" t="inlineStr">
        <is>
          <t>4661</t>
        </is>
      </c>
      <c r="D28" s="20" t="inlineStr">
        <is>
          <t>オリエンタルランド</t>
        </is>
      </c>
      <c r="E28" s="19" t="inlineStr">
        <is>
          <t>保有継続</t>
        </is>
      </c>
      <c r="F28" s="21" t="n">
        <v>17.88</v>
      </c>
      <c r="G28" s="22" t="n">
        <v>2635</v>
      </c>
      <c r="H28" s="23">
        <f>F28*G28</f>
        <v/>
      </c>
      <c r="I28" s="20" t="inlineStr">
        <is>
          <t>インバウンド底堅い</t>
        </is>
      </c>
      <c r="J28" s="19" t="inlineStr">
        <is>
          <t>△</t>
        </is>
      </c>
      <c r="K28" s="20" t="inlineStr">
        <is>
          <t>停戦協議・決算ガイダンス確認</t>
        </is>
      </c>
    </row>
    <row r="29">
      <c r="A29" s="19" t="inlineStr">
        <is>
          <t>第2週(4月)</t>
        </is>
      </c>
      <c r="B29" s="19" t="inlineStr">
        <is>
          <t>2026/4/19</t>
        </is>
      </c>
      <c r="C29" s="19" t="inlineStr">
        <is>
          <t>6146</t>
        </is>
      </c>
      <c r="D29" s="20" t="inlineStr">
        <is>
          <t>ディスコ</t>
        </is>
      </c>
      <c r="E29" s="19" t="inlineStr">
        <is>
          <t>保有継続</t>
        </is>
      </c>
      <c r="F29" s="21" t="n">
        <v>0.414</v>
      </c>
      <c r="G29" s="22" t="n">
        <v>72894</v>
      </c>
      <c r="H29" s="23">
        <f>F29*G29</f>
        <v/>
      </c>
      <c r="I29" s="20" t="inlineStr">
        <is>
          <t>含み益転換！半導体需要回復</t>
        </is>
      </c>
      <c r="J29" s="19" t="inlineStr">
        <is>
          <t>○</t>
        </is>
      </c>
      <c r="K29" s="20" t="inlineStr">
        <is>
          <t>決算ガイダンス確認</t>
        </is>
      </c>
    </row>
    <row r="30">
      <c r="A30" s="19" t="inlineStr">
        <is>
          <t>第2週(4月)</t>
        </is>
      </c>
      <c r="B30" s="19" t="inlineStr">
        <is>
          <t>2026/4/19</t>
        </is>
      </c>
      <c r="C30" s="19" t="inlineStr">
        <is>
          <t>6460</t>
        </is>
      </c>
      <c r="D30" s="20" t="inlineStr">
        <is>
          <t>セガサミーHD</t>
        </is>
      </c>
      <c r="E30" s="19" t="inlineStr">
        <is>
          <t>保有継続</t>
        </is>
      </c>
      <c r="F30" s="21" t="n">
        <v>0.751</v>
      </c>
      <c r="G30" s="22" t="n">
        <v>2551</v>
      </c>
      <c r="H30" s="23">
        <f>F30*G30</f>
        <v/>
      </c>
      <c r="I30" s="20" t="inlineStr">
        <is>
          <t>ポジション微小</t>
        </is>
      </c>
      <c r="J30" s="19" t="inlineStr">
        <is>
          <t>△</t>
        </is>
      </c>
      <c r="K30" s="20" t="inlineStr">
        <is>
          <t>動向監視</t>
        </is>
      </c>
    </row>
    <row r="31">
      <c r="A31" s="19" t="inlineStr">
        <is>
          <t>第2週(4月)</t>
        </is>
      </c>
      <c r="B31" s="19" t="inlineStr">
        <is>
          <t>2026/4/19</t>
        </is>
      </c>
      <c r="C31" s="19" t="inlineStr">
        <is>
          <t>6758</t>
        </is>
      </c>
      <c r="D31" s="20" t="inlineStr">
        <is>
          <t>ソニーグループ</t>
        </is>
      </c>
      <c r="E31" s="19" t="inlineStr">
        <is>
          <t>保有継続</t>
        </is>
      </c>
      <c r="F31" s="21" t="n">
        <v>50</v>
      </c>
      <c r="G31" s="22" t="n">
        <v>3395</v>
      </c>
      <c r="H31" s="23">
        <f>F31*G31</f>
        <v/>
      </c>
      <c r="I31" s="20" t="inlineStr">
        <is>
          <t>AI関連株調整でゲーム・IP株に見直し買い流入</t>
        </is>
      </c>
      <c r="J31" s="19" t="inlineStr">
        <is>
          <t>○</t>
        </is>
      </c>
      <c r="K31" s="20" t="inlineStr">
        <is>
          <t>決算ガイダンス確認</t>
        </is>
      </c>
    </row>
    <row r="32">
      <c r="A32" s="19" t="inlineStr">
        <is>
          <t>第2週(4月)</t>
        </is>
      </c>
      <c r="B32" s="19" t="inlineStr">
        <is>
          <t>2026/4/19</t>
        </is>
      </c>
      <c r="C32" s="19" t="inlineStr">
        <is>
          <t>6857</t>
        </is>
      </c>
      <c r="D32" s="20" t="inlineStr">
        <is>
          <t>アドバンテスト</t>
        </is>
      </c>
      <c r="E32" s="19" t="inlineStr">
        <is>
          <t>保有継続</t>
        </is>
      </c>
      <c r="F32" s="21" t="n">
        <v>1.89</v>
      </c>
      <c r="G32" s="22" t="n">
        <v>27921</v>
      </c>
      <c r="H32" s="23">
        <f>F32*G32</f>
        <v/>
      </c>
      <c r="I32" s="20" t="inlineStr">
        <is>
          <t>AI需要継続。+5.53%で好調維持</t>
        </is>
      </c>
      <c r="J32" s="19" t="inlineStr">
        <is>
          <t>○</t>
        </is>
      </c>
      <c r="K32" s="20" t="inlineStr">
        <is>
          <t>決算ガイダンス確認</t>
        </is>
      </c>
    </row>
    <row r="33">
      <c r="A33" s="19" t="inlineStr">
        <is>
          <t>第2週(4月)</t>
        </is>
      </c>
      <c r="B33" s="19" t="inlineStr">
        <is>
          <t>2026/4/19</t>
        </is>
      </c>
      <c r="C33" s="19" t="inlineStr">
        <is>
          <t>6954</t>
        </is>
      </c>
      <c r="D33" s="20" t="inlineStr">
        <is>
          <t>ファナック</t>
        </is>
      </c>
      <c r="E33" s="19" t="inlineStr">
        <is>
          <t>様子見</t>
        </is>
      </c>
      <c r="F33" s="21" t="n">
        <v>7.23</v>
      </c>
      <c r="G33" s="22" t="n">
        <v>6230</v>
      </c>
      <c r="H33" s="23">
        <f>F33*G33</f>
        <v/>
      </c>
      <c r="I33" s="20" t="inlineStr">
        <is>
          <t>中国需要回復待ち</t>
        </is>
      </c>
      <c r="J33" s="19" t="inlineStr">
        <is>
          <t>△</t>
        </is>
      </c>
      <c r="K33" s="20" t="inlineStr">
        <is>
          <t>中国景況感指標確認</t>
        </is>
      </c>
    </row>
    <row r="34">
      <c r="A34" s="19" t="inlineStr">
        <is>
          <t>第2週(4月)</t>
        </is>
      </c>
      <c r="B34" s="19" t="inlineStr">
        <is>
          <t>2026/4/19</t>
        </is>
      </c>
      <c r="C34" s="19" t="inlineStr">
        <is>
          <t>7011</t>
        </is>
      </c>
      <c r="D34" s="20" t="inlineStr">
        <is>
          <t>三菱重工業</t>
        </is>
      </c>
      <c r="E34" s="19" t="inlineStr">
        <is>
          <t>様子見</t>
        </is>
      </c>
      <c r="F34" s="21" t="n">
        <v>19.59</v>
      </c>
      <c r="G34" s="22" t="n">
        <v>4371</v>
      </c>
      <c r="H34" s="23">
        <f>F34*G34</f>
        <v/>
      </c>
      <c r="I34" s="20" t="inlineStr">
        <is>
          <t>停戦で防衛プレミアム剥落。-14.36%まで悪化</t>
        </is>
      </c>
      <c r="J34" s="19" t="inlineStr">
        <is>
          <t>×</t>
        </is>
      </c>
      <c r="K34" s="20" t="inlineStr">
        <is>
          <t>4,300円割れなら損切り検討</t>
        </is>
      </c>
    </row>
    <row r="35">
      <c r="A35" s="19" t="inlineStr">
        <is>
          <t>第2週(4月)</t>
        </is>
      </c>
      <c r="B35" s="19" t="inlineStr">
        <is>
          <t>2026/4/19</t>
        </is>
      </c>
      <c r="C35" s="19" t="inlineStr">
        <is>
          <t>7735</t>
        </is>
      </c>
      <c r="D35" s="20" t="inlineStr">
        <is>
          <t>SCREENホールディングス</t>
        </is>
      </c>
      <c r="E35" s="19" t="inlineStr">
        <is>
          <t>保有継続</t>
        </is>
      </c>
      <c r="F35" s="21" t="n">
        <v>1.33</v>
      </c>
      <c r="G35" s="22" t="n">
        <v>21175</v>
      </c>
      <c r="H35" s="23">
        <f>F35*G35</f>
        <v/>
      </c>
      <c r="I35" s="20" t="inlineStr">
        <is>
          <t>半導体装置、含み損再拡大。様子見</t>
        </is>
      </c>
      <c r="J35" s="19" t="inlineStr">
        <is>
          <t>△</t>
        </is>
      </c>
      <c r="K35" s="20" t="inlineStr">
        <is>
          <t>半導体装置受注動向確認</t>
        </is>
      </c>
    </row>
    <row r="36">
      <c r="A36" s="19" t="inlineStr">
        <is>
          <t>第2週(4月)</t>
        </is>
      </c>
      <c r="B36" s="19" t="inlineStr">
        <is>
          <t>2026/4/19</t>
        </is>
      </c>
      <c r="C36" s="19" t="inlineStr">
        <is>
          <t>7974</t>
        </is>
      </c>
      <c r="D36" s="20" t="inlineStr">
        <is>
          <t>任天堂</t>
        </is>
      </c>
      <c r="E36" s="19" t="inlineStr">
        <is>
          <t>保有継続</t>
        </is>
      </c>
      <c r="F36" s="21" t="n">
        <v>11.73</v>
      </c>
      <c r="G36" s="22" t="n">
        <v>8619</v>
      </c>
      <c r="H36" s="23">
        <f>F36*G36</f>
        <v/>
      </c>
      <c r="I36" s="20" t="inlineStr">
        <is>
          <t>含み益転換！ゲーム株見直し買い</t>
        </is>
      </c>
      <c r="J36" s="19" t="inlineStr">
        <is>
          <t>○</t>
        </is>
      </c>
      <c r="K36" s="20" t="inlineStr">
        <is>
          <t>Switch2実売継続確認</t>
        </is>
      </c>
    </row>
    <row r="37">
      <c r="A37" s="19" t="inlineStr">
        <is>
          <t>第2週(4月)</t>
        </is>
      </c>
      <c r="B37" s="19" t="inlineStr">
        <is>
          <t>2026/4/19</t>
        </is>
      </c>
      <c r="C37" s="19" t="inlineStr">
        <is>
          <t>8035</t>
        </is>
      </c>
      <c r="D37" s="20" t="inlineStr">
        <is>
          <t>東京エレクトロン</t>
        </is>
      </c>
      <c r="E37" s="19" t="inlineStr">
        <is>
          <t>保有継続</t>
        </is>
      </c>
      <c r="F37" s="21" t="n">
        <v>0.228</v>
      </c>
      <c r="G37" s="22" t="n">
        <v>44092</v>
      </c>
      <c r="H37" s="23">
        <f>F37*G37</f>
        <v/>
      </c>
      <c r="I37" s="20" t="inlineStr">
        <is>
          <t>微小含み益。AI投資継続期待</t>
        </is>
      </c>
      <c r="J37" s="19" t="inlineStr">
        <is>
          <t>△</t>
        </is>
      </c>
      <c r="K37" s="20" t="inlineStr">
        <is>
          <t>決算ガイダンス確認</t>
        </is>
      </c>
    </row>
    <row r="38">
      <c r="A38" s="19" t="inlineStr">
        <is>
          <t>第2週(4月)</t>
        </is>
      </c>
      <c r="B38" s="19" t="inlineStr">
        <is>
          <t>2026/4/19</t>
        </is>
      </c>
      <c r="C38" s="19" t="inlineStr">
        <is>
          <t>9983</t>
        </is>
      </c>
      <c r="D38" s="20" t="inlineStr">
        <is>
          <t>ファーストリテイリング</t>
        </is>
      </c>
      <c r="E38" s="19" t="inlineStr">
        <is>
          <t>保有継続</t>
        </is>
      </c>
      <c r="F38" s="21" t="n">
        <v>0.149</v>
      </c>
      <c r="G38" s="22" t="n">
        <v>74463</v>
      </c>
      <c r="H38" s="23">
        <f>F38*G38</f>
        <v/>
      </c>
      <c r="I38" s="20" t="inlineStr">
        <is>
          <t>取得比+10.95%。利確タイミング意識</t>
        </is>
      </c>
      <c r="J38" s="19" t="inlineStr">
        <is>
          <t>○</t>
        </is>
      </c>
      <c r="K38" s="20" t="inlineStr">
        <is>
          <t>次回決算前に利確検討</t>
        </is>
      </c>
    </row>
  </sheetData>
  <dataValidations count="2">
    <dataValidation sqref="E2:E13" showDropDown="0" showInputMessage="0" showErrorMessage="0" allowBlank="1" type="list">
      <formula1>"買い,売り,保有継続,一部売り,一部買い増し"</formula1>
    </dataValidation>
    <dataValidation sqref="J2:J13" showDropDown="0" showInputMessage="0" showErrorMessage="0" allowBlank="1" type="list">
      <formula1>"〇,△,×"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16" customWidth="1" min="4" max="4"/>
    <col width="14" customWidth="1" min="5" max="5"/>
    <col width="14" customWidth="1" min="6" max="6"/>
    <col width="12" customWidth="1" min="7" max="7"/>
    <col width="40" customWidth="1" min="8" max="8"/>
  </cols>
  <sheetData>
    <row r="1" ht="25" customHeight="1">
      <c r="A1" s="1" t="inlineStr">
        <is>
          <t>週</t>
        </is>
      </c>
      <c r="B1" s="1" t="inlineStr">
        <is>
          <t>記録日</t>
        </is>
      </c>
      <c r="C1" s="1" t="inlineStr">
        <is>
          <t>評価総額(円)</t>
        </is>
      </c>
      <c r="D1" s="1" t="inlineStr">
        <is>
          <t>現金残高(円)</t>
        </is>
      </c>
      <c r="E1" s="1" t="inlineStr">
        <is>
          <t>現金比率(%)</t>
        </is>
      </c>
      <c r="F1" s="1" t="inlineStr">
        <is>
          <t>損益額(円)</t>
        </is>
      </c>
      <c r="G1" s="1" t="inlineStr">
        <is>
          <t>損益率(%)</t>
        </is>
      </c>
      <c r="H1" s="1" t="inlineStr">
        <is>
          <t>メモ</t>
        </is>
      </c>
    </row>
    <row r="2">
      <c r="A2" s="2" t="inlineStr">
        <is>
          <t>第1週</t>
        </is>
      </c>
      <c r="B2" s="2" t="inlineStr">
        <is>
          <t>2026/3/21</t>
        </is>
      </c>
      <c r="C2" s="5" t="n">
        <v>712470</v>
      </c>
      <c r="D2" s="5" t="n">
        <v>0</v>
      </c>
      <c r="E2" s="11">
        <f>IFERROR(D2/(C2+D2),0)</f>
        <v/>
      </c>
      <c r="F2" s="12" t="n">
        <v>-4743</v>
      </c>
      <c r="G2" s="11">
        <f>IFERROR(F2/(C2-F2),0)</f>
        <v/>
      </c>
      <c r="H2" s="7" t="inlineStr">
        <is>
          <t>初回記録（2026年3月21日）</t>
        </is>
      </c>
    </row>
    <row r="3">
      <c r="A3" s="2" t="n"/>
      <c r="B3" s="2" t="n"/>
      <c r="C3" s="5" t="n"/>
      <c r="D3" s="5" t="n"/>
      <c r="E3" s="11">
        <f>IFERROR(D3/(C3+D3),0)</f>
        <v/>
      </c>
      <c r="F3" s="5" t="n"/>
      <c r="G3" s="11">
        <f>IFERROR(F3/(C3-F3),0)</f>
        <v/>
      </c>
      <c r="H3" s="2" t="n"/>
    </row>
    <row r="4">
      <c r="A4" s="2" t="n"/>
      <c r="B4" s="2" t="n"/>
      <c r="C4" s="5" t="n"/>
      <c r="D4" s="5" t="n"/>
      <c r="E4" s="11">
        <f>IFERROR(D4/(C4+D4),0)</f>
        <v/>
      </c>
      <c r="F4" s="5" t="n"/>
      <c r="G4" s="11">
        <f>IFERROR(F4/(C4-F4),0)</f>
        <v/>
      </c>
      <c r="H4" s="2" t="n"/>
    </row>
    <row r="5">
      <c r="A5" s="2" t="n"/>
      <c r="B5" s="2" t="n"/>
      <c r="C5" s="5" t="n"/>
      <c r="D5" s="5" t="n"/>
      <c r="E5" s="11">
        <f>IFERROR(D5/(C5+D5),0)</f>
        <v/>
      </c>
      <c r="F5" s="5" t="n"/>
      <c r="G5" s="11">
        <f>IFERROR(F5/(C5-F5),0)</f>
        <v/>
      </c>
      <c r="H5" s="2" t="n"/>
    </row>
    <row r="6">
      <c r="A6" s="19" t="inlineStr">
        <is>
          <t>第1週(4月)</t>
        </is>
      </c>
      <c r="B6" s="19" t="inlineStr">
        <is>
          <t>2026/4/14</t>
        </is>
      </c>
      <c r="C6" s="22" t="n">
        <v>716023</v>
      </c>
      <c r="D6" s="22" t="n">
        <v>0</v>
      </c>
      <c r="E6" s="24">
        <f>IFERROR(D6/(C6+D6),0)</f>
        <v/>
      </c>
      <c r="F6" s="25" t="n">
        <v>-1470</v>
      </c>
      <c r="G6" s="24">
        <f>IFERROR(F6/(C6-F6),0)</f>
        <v/>
      </c>
      <c r="H6" s="20" t="inlineStr">
        <is>
          <t>中東停戦協議停滞で本日▲700円超の場面。先週比+32,692円回復</t>
        </is>
      </c>
    </row>
    <row r="7">
      <c r="A7" s="19" t="inlineStr">
        <is>
          <t>第2週(4月)</t>
        </is>
      </c>
      <c r="B7" s="19" t="inlineStr">
        <is>
          <t>2026/4/19</t>
        </is>
      </c>
      <c r="C7" s="22" t="n">
        <v>717202</v>
      </c>
      <c r="D7" s="22" t="n">
        <v>0</v>
      </c>
      <c r="E7" s="24">
        <f>IFERROR(D7/(C7+D7),0)</f>
        <v/>
      </c>
      <c r="F7" s="25" t="n">
        <v>-291</v>
      </c>
      <c r="G7" s="24">
        <f>IFERROR(F7/(C7-F7),0)</f>
        <v/>
      </c>
      <c r="H7" s="20" t="inlineStr">
        <is>
          <t>日経平均4/16に史上最高値59,518円更新。週間+1,552円。取得原価まで291円に迫る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6" customWidth="1" min="3" max="3"/>
    <col width="18" customWidth="1" min="4" max="4"/>
    <col width="12" customWidth="1" min="5" max="5"/>
    <col width="40" customWidth="1" min="6" max="6"/>
    <col width="40" customWidth="1" min="7" max="7"/>
  </cols>
  <sheetData>
    <row r="1" ht="25" customHeight="1">
      <c r="A1" s="1" t="inlineStr">
        <is>
          <t>週</t>
        </is>
      </c>
      <c r="B1" s="1" t="inlineStr">
        <is>
          <t>推奨銘柄</t>
        </is>
      </c>
      <c r="C1" s="1" t="inlineStr">
        <is>
          <t>推奨方向</t>
        </is>
      </c>
      <c r="D1" s="1" t="inlineStr">
        <is>
          <t>実際の騰落率(%)</t>
        </is>
      </c>
      <c r="E1" s="1" t="inlineStr">
        <is>
          <t>評価(〇△×)</t>
        </is>
      </c>
      <c r="F1" s="1" t="inlineStr">
        <is>
          <t>失敗原因</t>
        </is>
      </c>
      <c r="G1" s="1" t="inlineStr">
        <is>
          <t>翌週への改善</t>
        </is>
      </c>
    </row>
    <row r="2">
      <c r="A2" s="2" t="inlineStr">
        <is>
          <t>第1週</t>
        </is>
      </c>
      <c r="B2" s="7" t="inlineStr">
        <is>
          <t>290A Synspective</t>
        </is>
      </c>
      <c r="C2" s="2" t="inlineStr">
        <is>
          <t>保有継続</t>
        </is>
      </c>
      <c r="D2" s="13" t="n"/>
      <c r="E2" s="2" t="n"/>
      <c r="F2" s="7" t="n"/>
      <c r="G2" s="7" t="n"/>
    </row>
    <row r="3">
      <c r="A3" s="2" t="inlineStr">
        <is>
          <t>第1週</t>
        </is>
      </c>
      <c r="B3" s="7" t="inlineStr">
        <is>
          <t>4661 オリエンタルランド</t>
        </is>
      </c>
      <c r="C3" s="2" t="inlineStr">
        <is>
          <t>保有継続</t>
        </is>
      </c>
      <c r="D3" s="13" t="n"/>
      <c r="E3" s="2" t="n"/>
      <c r="F3" s="7" t="n"/>
      <c r="G3" s="7" t="n"/>
    </row>
    <row r="4">
      <c r="A4" s="2" t="inlineStr">
        <is>
          <t>第1週</t>
        </is>
      </c>
      <c r="B4" s="7" t="inlineStr">
        <is>
          <t>6146 ディスコ</t>
        </is>
      </c>
      <c r="C4" s="2" t="inlineStr">
        <is>
          <t>保有継続</t>
        </is>
      </c>
      <c r="D4" s="13" t="n"/>
      <c r="E4" s="2" t="n"/>
      <c r="F4" s="7" t="n"/>
      <c r="G4" s="7" t="n"/>
    </row>
    <row r="5">
      <c r="A5" s="2" t="inlineStr">
        <is>
          <t>第1週</t>
        </is>
      </c>
      <c r="B5" s="7" t="inlineStr">
        <is>
          <t>6460 セガサミーHD</t>
        </is>
      </c>
      <c r="C5" s="2" t="inlineStr">
        <is>
          <t>保有継続</t>
        </is>
      </c>
      <c r="D5" s="13" t="n"/>
      <c r="E5" s="2" t="n"/>
      <c r="F5" s="7" t="n"/>
      <c r="G5" s="7" t="n"/>
    </row>
    <row r="6">
      <c r="A6" s="2" t="inlineStr">
        <is>
          <t>第1週</t>
        </is>
      </c>
      <c r="B6" s="7" t="inlineStr">
        <is>
          <t>6758 ソニーグループ</t>
        </is>
      </c>
      <c r="C6" s="2" t="inlineStr">
        <is>
          <t>保有継続</t>
        </is>
      </c>
      <c r="D6" s="13" t="n"/>
      <c r="E6" s="2" t="n"/>
      <c r="F6" s="7" t="n"/>
      <c r="G6" s="7" t="n"/>
    </row>
    <row r="7">
      <c r="A7" s="2" t="inlineStr">
        <is>
          <t>第1週</t>
        </is>
      </c>
      <c r="B7" s="7" t="inlineStr">
        <is>
          <t>6857 アドバンテスト</t>
        </is>
      </c>
      <c r="C7" s="2" t="inlineStr">
        <is>
          <t>保有継続</t>
        </is>
      </c>
      <c r="D7" s="13" t="n"/>
      <c r="E7" s="2" t="n"/>
      <c r="F7" s="7" t="n"/>
      <c r="G7" s="7" t="n"/>
    </row>
    <row r="8">
      <c r="A8" s="2" t="inlineStr">
        <is>
          <t>第1週</t>
        </is>
      </c>
      <c r="B8" s="7" t="inlineStr">
        <is>
          <t>6954 ファナック</t>
        </is>
      </c>
      <c r="C8" s="2" t="inlineStr">
        <is>
          <t>保有継続</t>
        </is>
      </c>
      <c r="D8" s="13" t="n"/>
      <c r="E8" s="2" t="n"/>
      <c r="F8" s="7" t="n"/>
      <c r="G8" s="7" t="n"/>
    </row>
    <row r="9">
      <c r="A9" s="2" t="inlineStr">
        <is>
          <t>第1週</t>
        </is>
      </c>
      <c r="B9" s="7" t="inlineStr">
        <is>
          <t>7011 三菱重工業</t>
        </is>
      </c>
      <c r="C9" s="2" t="inlineStr">
        <is>
          <t>保有継続</t>
        </is>
      </c>
      <c r="D9" s="13" t="n"/>
      <c r="E9" s="2" t="n"/>
      <c r="F9" s="7" t="n"/>
      <c r="G9" s="7" t="n"/>
    </row>
    <row r="10">
      <c r="A10" s="2" t="inlineStr">
        <is>
          <t>第1週</t>
        </is>
      </c>
      <c r="B10" s="7" t="inlineStr">
        <is>
          <t>7735 SCREENホールディングス</t>
        </is>
      </c>
      <c r="C10" s="2" t="inlineStr">
        <is>
          <t>保有継続</t>
        </is>
      </c>
      <c r="D10" s="13" t="n"/>
      <c r="E10" s="2" t="n"/>
      <c r="F10" s="7" t="n"/>
      <c r="G10" s="7" t="n"/>
    </row>
    <row r="11">
      <c r="A11" s="2" t="inlineStr">
        <is>
          <t>第1週</t>
        </is>
      </c>
      <c r="B11" s="7" t="inlineStr">
        <is>
          <t>7974 任天堂</t>
        </is>
      </c>
      <c r="C11" s="2" t="inlineStr">
        <is>
          <t>保有継続</t>
        </is>
      </c>
      <c r="D11" s="13" t="n"/>
      <c r="E11" s="2" t="n"/>
      <c r="F11" s="7" t="n"/>
      <c r="G11" s="7" t="n"/>
    </row>
    <row r="12">
      <c r="A12" s="2" t="inlineStr">
        <is>
          <t>第1週</t>
        </is>
      </c>
      <c r="B12" s="7" t="inlineStr">
        <is>
          <t>8035 東京エレクトロン</t>
        </is>
      </c>
      <c r="C12" s="2" t="inlineStr">
        <is>
          <t>保有継続</t>
        </is>
      </c>
      <c r="D12" s="13" t="n"/>
      <c r="E12" s="2" t="n"/>
      <c r="F12" s="7" t="n"/>
      <c r="G12" s="7" t="n"/>
    </row>
    <row r="13">
      <c r="A13" s="2" t="inlineStr">
        <is>
          <t>第1週</t>
        </is>
      </c>
      <c r="B13" s="7" t="inlineStr">
        <is>
          <t>9983 ファーストリテイリング</t>
        </is>
      </c>
      <c r="C13" s="2" t="inlineStr">
        <is>
          <t>保有継続</t>
        </is>
      </c>
      <c r="D13" s="13" t="n"/>
      <c r="E13" s="2" t="n"/>
      <c r="F13" s="7" t="n"/>
      <c r="G13" s="7" t="n"/>
    </row>
    <row r="14">
      <c r="A14" s="19" t="inlineStr">
        <is>
          <t>第1週(4月)</t>
        </is>
      </c>
      <c r="B14" s="19" t="inlineStr">
        <is>
          <t>290A Synspective</t>
        </is>
      </c>
      <c r="C14" s="19" t="inlineStr">
        <is>
          <t>保有継続</t>
        </is>
      </c>
      <c r="D14" s="19" t="inlineStr"/>
      <c r="E14" s="19" t="inlineStr">
        <is>
          <t>△</t>
        </is>
      </c>
      <c r="F14" s="20" t="inlineStr">
        <is>
          <t>宇宙・防衛テーマ継続。中東紛争で注目度維持</t>
        </is>
      </c>
      <c r="G14" s="20" t="inlineStr">
        <is>
          <t>来週の停戦協議結果・決算ガイダンスを確認</t>
        </is>
      </c>
    </row>
    <row r="15">
      <c r="A15" s="19" t="inlineStr">
        <is>
          <t>第1週(4月)</t>
        </is>
      </c>
      <c r="B15" s="19" t="inlineStr">
        <is>
          <t>4661 オリエンタルランド</t>
        </is>
      </c>
      <c r="C15" s="19" t="inlineStr">
        <is>
          <t>保有継続</t>
        </is>
      </c>
      <c r="D15" s="19" t="inlineStr"/>
      <c r="E15" s="19" t="inlineStr">
        <is>
          <t>△</t>
        </is>
      </c>
      <c r="F15" s="20" t="inlineStr">
        <is>
          <t>インバウンド底堅いが円高リスクに注意</t>
        </is>
      </c>
      <c r="G15" s="20" t="inlineStr">
        <is>
          <t>来週の停戦協議結果・決算ガイダンスを確認</t>
        </is>
      </c>
    </row>
    <row r="16">
      <c r="A16" s="19" t="inlineStr">
        <is>
          <t>第1週(4月)</t>
        </is>
      </c>
      <c r="B16" s="19" t="inlineStr">
        <is>
          <t>6146 ディスコ</t>
        </is>
      </c>
      <c r="C16" s="19" t="inlineStr">
        <is>
          <t>保有継続</t>
        </is>
      </c>
      <c r="D16" s="19" t="inlineStr"/>
      <c r="E16" s="19" t="inlineStr">
        <is>
          <t>△</t>
        </is>
      </c>
      <c r="F16" s="20" t="inlineStr">
        <is>
          <t>半導体需要回復で含み損縮小傾向</t>
        </is>
      </c>
      <c r="G16" s="20" t="inlineStr">
        <is>
          <t>来週の停戦協議結果・決算ガイダンスを確認</t>
        </is>
      </c>
    </row>
    <row r="17">
      <c r="A17" s="19" t="inlineStr">
        <is>
          <t>第1週(4月)</t>
        </is>
      </c>
      <c r="B17" s="19" t="inlineStr">
        <is>
          <t>6460 セガサミーHD</t>
        </is>
      </c>
      <c r="C17" s="19" t="inlineStr">
        <is>
          <t>保有継続</t>
        </is>
      </c>
      <c r="D17" s="19" t="inlineStr"/>
      <c r="E17" s="19" t="inlineStr">
        <is>
          <t>△</t>
        </is>
      </c>
      <c r="F17" s="20" t="inlineStr">
        <is>
          <t>ポジション微小。動向監視</t>
        </is>
      </c>
      <c r="G17" s="20" t="inlineStr">
        <is>
          <t>来週の停戦協議結果・決算ガイダンスを確認</t>
        </is>
      </c>
    </row>
    <row r="18">
      <c r="A18" s="19" t="inlineStr">
        <is>
          <t>第1週(4月)</t>
        </is>
      </c>
      <c r="B18" s="19" t="inlineStr">
        <is>
          <t>6758 ソニーグループ</t>
        </is>
      </c>
      <c r="C18" s="19" t="inlineStr">
        <is>
          <t>保有継続</t>
        </is>
      </c>
      <c r="D18" s="19" t="inlineStr"/>
      <c r="E18" s="19" t="inlineStr">
        <is>
          <t>○</t>
        </is>
      </c>
      <c r="F18" s="20" t="inlineStr">
        <is>
          <t>エンタメ・半導体部門安定。含み益維持</t>
        </is>
      </c>
      <c r="G18" s="20" t="inlineStr">
        <is>
          <t>来週の停戦協議結果・決算ガイダンスを確認</t>
        </is>
      </c>
    </row>
    <row r="19">
      <c r="A19" s="19" t="inlineStr">
        <is>
          <t>第1週(4月)</t>
        </is>
      </c>
      <c r="B19" s="19" t="inlineStr">
        <is>
          <t>6857 アドバンテスト</t>
        </is>
      </c>
      <c r="C19" s="19" t="inlineStr">
        <is>
          <t>保有継続</t>
        </is>
      </c>
      <c r="D19" s="19" t="inlineStr"/>
      <c r="E19" s="19" t="inlineStr">
        <is>
          <t>○</t>
        </is>
      </c>
      <c r="F19" s="20" t="inlineStr">
        <is>
          <t>AI向けテスタ需要過去最高。決算好調で注目</t>
        </is>
      </c>
      <c r="G19" s="20" t="inlineStr">
        <is>
          <t>来週の停戦協議結果・決算ガイダンスを確認</t>
        </is>
      </c>
    </row>
    <row r="20">
      <c r="A20" s="19" t="inlineStr">
        <is>
          <t>第1週(4月)</t>
        </is>
      </c>
      <c r="B20" s="19" t="inlineStr">
        <is>
          <t>6954 ファナック</t>
        </is>
      </c>
      <c r="C20" s="19" t="inlineStr">
        <is>
          <t>様子見</t>
        </is>
      </c>
      <c r="D20" s="19" t="inlineStr"/>
      <c r="E20" s="19" t="inlineStr">
        <is>
          <t>△</t>
        </is>
      </c>
      <c r="F20" s="20" t="inlineStr">
        <is>
          <t>中国需要回復待ち。原油高は製造業に逆風</t>
        </is>
      </c>
      <c r="G20" s="20" t="inlineStr">
        <is>
          <t>来週の停戦協議結果・決算ガイダンスを確認</t>
        </is>
      </c>
    </row>
    <row r="21">
      <c r="A21" s="19" t="inlineStr">
        <is>
          <t>第1週(4月)</t>
        </is>
      </c>
      <c r="B21" s="19" t="inlineStr">
        <is>
          <t>7011 三菱重工業</t>
        </is>
      </c>
      <c r="C21" s="19" t="inlineStr">
        <is>
          <t>様子見</t>
        </is>
      </c>
      <c r="D21" s="19" t="inlineStr"/>
      <c r="E21" s="19" t="inlineStr">
        <is>
          <t>△</t>
        </is>
      </c>
      <c r="F21" s="20" t="inlineStr">
        <is>
          <t>停戦協議進展で防衛プレミアム剥落リスク</t>
        </is>
      </c>
      <c r="G21" s="20" t="inlineStr">
        <is>
          <t>来週の停戦協議結果・決算ガイダンスを確認</t>
        </is>
      </c>
    </row>
    <row r="22">
      <c r="A22" s="19" t="inlineStr">
        <is>
          <t>第1週(4月)</t>
        </is>
      </c>
      <c r="B22" s="19" t="inlineStr">
        <is>
          <t>7735 SCREENホールディングス</t>
        </is>
      </c>
      <c r="C22" s="19" t="inlineStr">
        <is>
          <t>保有継続</t>
        </is>
      </c>
      <c r="D22" s="19" t="inlineStr"/>
      <c r="E22" s="19" t="inlineStr">
        <is>
          <t>○</t>
        </is>
      </c>
      <c r="F22" s="20" t="inlineStr">
        <is>
          <t>半導体装置需要回復。含み損ほぼ解消</t>
        </is>
      </c>
      <c r="G22" s="20" t="inlineStr">
        <is>
          <t>来週の停戦協議結果・決算ガイダンスを確認</t>
        </is>
      </c>
    </row>
    <row r="23">
      <c r="A23" s="19" t="inlineStr">
        <is>
          <t>第1週(4月)</t>
        </is>
      </c>
      <c r="B23" s="19" t="inlineStr">
        <is>
          <t>7974 任天堂</t>
        </is>
      </c>
      <c r="C23" s="19" t="inlineStr">
        <is>
          <t>様子見</t>
        </is>
      </c>
      <c r="D23" s="19" t="inlineStr"/>
      <c r="E23" s="19" t="inlineStr">
        <is>
          <t>×</t>
        </is>
      </c>
      <c r="F23" s="20" t="inlineStr">
        <is>
          <t>Switch2生産削減で下落継続。反転確認まで慎重</t>
        </is>
      </c>
      <c r="G23" s="20" t="inlineStr">
        <is>
          <t>Switch2実売データ・次回決算ガイダンスを確認</t>
        </is>
      </c>
    </row>
    <row r="24">
      <c r="A24" s="19" t="inlineStr">
        <is>
          <t>第1週(4月)</t>
        </is>
      </c>
      <c r="B24" s="19" t="inlineStr">
        <is>
          <t>8035 東京エレクトロン</t>
        </is>
      </c>
      <c r="C24" s="19" t="inlineStr">
        <is>
          <t>保有継続</t>
        </is>
      </c>
      <c r="D24" s="19" t="inlineStr"/>
      <c r="E24" s="19" t="inlineStr">
        <is>
          <t>△</t>
        </is>
      </c>
      <c r="F24" s="20" t="inlineStr">
        <is>
          <t>AI投資拡大で中長期は期待維持</t>
        </is>
      </c>
      <c r="G24" s="20" t="inlineStr">
        <is>
          <t>来週の停戦協議結果・決算ガイダンスを確認</t>
        </is>
      </c>
    </row>
    <row r="25">
      <c r="A25" s="19" t="inlineStr">
        <is>
          <t>第1週(4月)</t>
        </is>
      </c>
      <c r="B25" s="19" t="inlineStr">
        <is>
          <t>9983 ファーストリテイリング</t>
        </is>
      </c>
      <c r="C25" s="19" t="inlineStr">
        <is>
          <t>保有継続</t>
        </is>
      </c>
      <c r="D25" s="19" t="inlineStr"/>
      <c r="E25" s="19" t="inlineStr">
        <is>
          <t>○</t>
        </is>
      </c>
      <c r="F25" s="20" t="inlineStr">
        <is>
          <t>国内消費強く最高パフォーマンス。利確タイミング検討</t>
        </is>
      </c>
      <c r="G25" s="20" t="inlineStr">
        <is>
          <t>来週の停戦協議結果・決算ガイダンスを確認</t>
        </is>
      </c>
    </row>
    <row r="26">
      <c r="A26" s="19" t="inlineStr">
        <is>
          <t>第2週(4月)</t>
        </is>
      </c>
      <c r="B26" s="19" t="inlineStr">
        <is>
          <t>290A Synspective</t>
        </is>
      </c>
      <c r="C26" s="19" t="inlineStr">
        <is>
          <t>保有継続</t>
        </is>
      </c>
      <c r="D26" s="19" t="inlineStr"/>
      <c r="E26" s="19" t="inlineStr">
        <is>
          <t>△</t>
        </is>
      </c>
      <c r="F26" s="20" t="inlineStr">
        <is>
          <t>宇宙・防衛テーマ継続</t>
        </is>
      </c>
      <c r="G26" s="20" t="inlineStr">
        <is>
          <t>停戦協議・決算ガイダンス確認</t>
        </is>
      </c>
    </row>
    <row r="27">
      <c r="A27" s="19" t="inlineStr">
        <is>
          <t>第2週(4月)</t>
        </is>
      </c>
      <c r="B27" s="19" t="inlineStr">
        <is>
          <t>4661 オリエンタルランド</t>
        </is>
      </c>
      <c r="C27" s="19" t="inlineStr">
        <is>
          <t>保有継続</t>
        </is>
      </c>
      <c r="D27" s="19" t="inlineStr"/>
      <c r="E27" s="19" t="inlineStr">
        <is>
          <t>△</t>
        </is>
      </c>
      <c r="F27" s="20" t="inlineStr">
        <is>
          <t>インバウンド底堅い</t>
        </is>
      </c>
      <c r="G27" s="20" t="inlineStr">
        <is>
          <t>停戦協議・決算ガイダンス確認</t>
        </is>
      </c>
    </row>
    <row r="28">
      <c r="A28" s="19" t="inlineStr">
        <is>
          <t>第2週(4月)</t>
        </is>
      </c>
      <c r="B28" s="19" t="inlineStr">
        <is>
          <t>6146 ディスコ</t>
        </is>
      </c>
      <c r="C28" s="19" t="inlineStr">
        <is>
          <t>保有継続</t>
        </is>
      </c>
      <c r="D28" s="19" t="inlineStr"/>
      <c r="E28" s="19" t="inlineStr">
        <is>
          <t>○</t>
        </is>
      </c>
      <c r="F28" s="20" t="inlineStr">
        <is>
          <t>含み益転換！半導体需要回復</t>
        </is>
      </c>
      <c r="G28" s="20" t="inlineStr">
        <is>
          <t>決算ガイダンス確認</t>
        </is>
      </c>
    </row>
    <row r="29">
      <c r="A29" s="19" t="inlineStr">
        <is>
          <t>第2週(4月)</t>
        </is>
      </c>
      <c r="B29" s="19" t="inlineStr">
        <is>
          <t>6460 セガサミーHD</t>
        </is>
      </c>
      <c r="C29" s="19" t="inlineStr">
        <is>
          <t>保有継続</t>
        </is>
      </c>
      <c r="D29" s="19" t="inlineStr"/>
      <c r="E29" s="19" t="inlineStr">
        <is>
          <t>△</t>
        </is>
      </c>
      <c r="F29" s="20" t="inlineStr">
        <is>
          <t>ポジション微小</t>
        </is>
      </c>
      <c r="G29" s="20" t="inlineStr">
        <is>
          <t>動向監視</t>
        </is>
      </c>
    </row>
    <row r="30">
      <c r="A30" s="19" t="inlineStr">
        <is>
          <t>第2週(4月)</t>
        </is>
      </c>
      <c r="B30" s="19" t="inlineStr">
        <is>
          <t>6758 ソニーグループ</t>
        </is>
      </c>
      <c r="C30" s="19" t="inlineStr">
        <is>
          <t>保有継続</t>
        </is>
      </c>
      <c r="D30" s="19" t="inlineStr"/>
      <c r="E30" s="19" t="inlineStr">
        <is>
          <t>○</t>
        </is>
      </c>
      <c r="F30" s="20" t="inlineStr">
        <is>
          <t>AI関連株調整でゲーム・IP株に見直し買い流入</t>
        </is>
      </c>
      <c r="G30" s="20" t="inlineStr">
        <is>
          <t>決算ガイダンス確認</t>
        </is>
      </c>
    </row>
    <row r="31">
      <c r="A31" s="19" t="inlineStr">
        <is>
          <t>第2週(4月)</t>
        </is>
      </c>
      <c r="B31" s="19" t="inlineStr">
        <is>
          <t>6857 アドバンテスト</t>
        </is>
      </c>
      <c r="C31" s="19" t="inlineStr">
        <is>
          <t>保有継続</t>
        </is>
      </c>
      <c r="D31" s="19" t="inlineStr"/>
      <c r="E31" s="19" t="inlineStr">
        <is>
          <t>○</t>
        </is>
      </c>
      <c r="F31" s="20" t="inlineStr">
        <is>
          <t>AI需要継続。+5.53%で好調維持</t>
        </is>
      </c>
      <c r="G31" s="20" t="inlineStr">
        <is>
          <t>決算ガイダンス確認</t>
        </is>
      </c>
    </row>
    <row r="32">
      <c r="A32" s="19" t="inlineStr">
        <is>
          <t>第2週(4月)</t>
        </is>
      </c>
      <c r="B32" s="19" t="inlineStr">
        <is>
          <t>6954 ファナック</t>
        </is>
      </c>
      <c r="C32" s="19" t="inlineStr">
        <is>
          <t>様子見</t>
        </is>
      </c>
      <c r="D32" s="19" t="inlineStr"/>
      <c r="E32" s="19" t="inlineStr">
        <is>
          <t>△</t>
        </is>
      </c>
      <c r="F32" s="20" t="inlineStr">
        <is>
          <t>中国需要回復待ち</t>
        </is>
      </c>
      <c r="G32" s="20" t="inlineStr">
        <is>
          <t>中国景況感指標確認</t>
        </is>
      </c>
    </row>
    <row r="33">
      <c r="A33" s="19" t="inlineStr">
        <is>
          <t>第2週(4月)</t>
        </is>
      </c>
      <c r="B33" s="19" t="inlineStr">
        <is>
          <t>7011 三菱重工業</t>
        </is>
      </c>
      <c r="C33" s="19" t="inlineStr">
        <is>
          <t>様子見</t>
        </is>
      </c>
      <c r="D33" s="19" t="inlineStr"/>
      <c r="E33" s="19" t="inlineStr">
        <is>
          <t>×</t>
        </is>
      </c>
      <c r="F33" s="20" t="inlineStr">
        <is>
          <t>停戦で防衛プレミアム剥落。-14.36%まで悪化</t>
        </is>
      </c>
      <c r="G33" s="20" t="inlineStr">
        <is>
          <t>4,300円割れなら損切り検討</t>
        </is>
      </c>
    </row>
    <row r="34">
      <c r="A34" s="19" t="inlineStr">
        <is>
          <t>第2週(4月)</t>
        </is>
      </c>
      <c r="B34" s="19" t="inlineStr">
        <is>
          <t>7735 SCREENホールディングス</t>
        </is>
      </c>
      <c r="C34" s="19" t="inlineStr">
        <is>
          <t>保有継続</t>
        </is>
      </c>
      <c r="D34" s="19" t="inlineStr"/>
      <c r="E34" s="19" t="inlineStr">
        <is>
          <t>△</t>
        </is>
      </c>
      <c r="F34" s="20" t="inlineStr">
        <is>
          <t>半導体装置、含み損再拡大。様子見</t>
        </is>
      </c>
      <c r="G34" s="20" t="inlineStr">
        <is>
          <t>半導体装置受注動向確認</t>
        </is>
      </c>
    </row>
    <row r="35">
      <c r="A35" s="19" t="inlineStr">
        <is>
          <t>第2週(4月)</t>
        </is>
      </c>
      <c r="B35" s="19" t="inlineStr">
        <is>
          <t>7974 任天堂</t>
        </is>
      </c>
      <c r="C35" s="19" t="inlineStr">
        <is>
          <t>保有継続</t>
        </is>
      </c>
      <c r="D35" s="19" t="inlineStr"/>
      <c r="E35" s="19" t="inlineStr">
        <is>
          <t>○</t>
        </is>
      </c>
      <c r="F35" s="20" t="inlineStr">
        <is>
          <t>含み益転換！ゲーム株見直し買い</t>
        </is>
      </c>
      <c r="G35" s="20" t="inlineStr">
        <is>
          <t>Switch2実売継続確認</t>
        </is>
      </c>
    </row>
    <row r="36">
      <c r="A36" s="19" t="inlineStr">
        <is>
          <t>第2週(4月)</t>
        </is>
      </c>
      <c r="B36" s="19" t="inlineStr">
        <is>
          <t>8035 東京エレクトロン</t>
        </is>
      </c>
      <c r="C36" s="19" t="inlineStr">
        <is>
          <t>保有継続</t>
        </is>
      </c>
      <c r="D36" s="19" t="inlineStr"/>
      <c r="E36" s="19" t="inlineStr">
        <is>
          <t>△</t>
        </is>
      </c>
      <c r="F36" s="20" t="inlineStr">
        <is>
          <t>微小含み益。AI投資継続期待</t>
        </is>
      </c>
      <c r="G36" s="20" t="inlineStr">
        <is>
          <t>決算ガイダンス確認</t>
        </is>
      </c>
    </row>
    <row r="37">
      <c r="A37" s="19" t="inlineStr">
        <is>
          <t>第2週(4月)</t>
        </is>
      </c>
      <c r="B37" s="19" t="inlineStr">
        <is>
          <t>9983 ファーストリテイリング</t>
        </is>
      </c>
      <c r="C37" s="19" t="inlineStr">
        <is>
          <t>保有継続</t>
        </is>
      </c>
      <c r="D37" s="19" t="inlineStr"/>
      <c r="E37" s="19" t="inlineStr">
        <is>
          <t>○</t>
        </is>
      </c>
      <c r="F37" s="20" t="inlineStr">
        <is>
          <t>取得比+10.95%。利確タイミング意識</t>
        </is>
      </c>
      <c r="G37" s="20" t="inlineStr">
        <is>
          <t>次回決算前に利確検討</t>
        </is>
      </c>
    </row>
  </sheetData>
  <dataValidations count="2">
    <dataValidation sqref="C2:C22" showDropDown="0" showInputMessage="0" showErrorMessage="0" allowBlank="1" type="list">
      <formula1>"買い,売り,保有継続,一部売り,一部買い増し,様子見"</formula1>
    </dataValidation>
    <dataValidation sqref="E2:E22" showDropDown="0" showInputMessage="0" showErrorMessage="0" allowBlank="1" type="list">
      <formula1>"〇,△,×"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  <col width="10" customWidth="1" min="9" max="9"/>
    <col width="20" customWidth="1" min="10" max="10"/>
  </cols>
  <sheetData>
    <row r="1" ht="25" customHeight="1">
      <c r="A1" s="1" t="inlineStr">
        <is>
          <t>銘柄コード</t>
        </is>
      </c>
      <c r="B1" s="1" t="inlineStr">
        <is>
          <t>銘柄名</t>
        </is>
      </c>
      <c r="C1" s="1" t="inlineStr">
        <is>
          <t>保有株数</t>
        </is>
      </c>
      <c r="D1" s="1" t="inlineStr">
        <is>
          <t>平均取得価額(円)</t>
        </is>
      </c>
      <c r="E1" s="1" t="inlineStr">
        <is>
          <t>取得総額(円)</t>
        </is>
      </c>
      <c r="F1" s="1" t="inlineStr">
        <is>
          <t>現在値(円)</t>
        </is>
      </c>
      <c r="G1" s="1" t="inlineStr">
        <is>
          <t>評価額(円)</t>
        </is>
      </c>
      <c r="H1" s="1" t="inlineStr">
        <is>
          <t>損益(円)</t>
        </is>
      </c>
      <c r="I1" s="1" t="inlineStr">
        <is>
          <t>損益率(%)</t>
        </is>
      </c>
      <c r="J1" s="1" t="inlineStr">
        <is>
          <t>セクター</t>
        </is>
      </c>
    </row>
    <row r="2">
      <c r="A2" s="2" t="inlineStr">
        <is>
          <t>290A</t>
        </is>
      </c>
      <c r="B2" s="3" t="inlineStr">
        <is>
          <t>Synspective</t>
        </is>
      </c>
      <c r="C2" s="5" t="n">
        <v>100</v>
      </c>
      <c r="D2" s="5" t="n">
        <v>1245</v>
      </c>
      <c r="E2" s="5" t="n">
        <v>124500</v>
      </c>
      <c r="F2" s="5" t="n">
        <v>1363</v>
      </c>
      <c r="G2" s="5" t="n">
        <v>136700</v>
      </c>
      <c r="H2" s="14">
        <f>G2-E2</f>
        <v/>
      </c>
      <c r="I2" s="11">
        <f>IFERROR(H2/E2,0)</f>
        <v/>
      </c>
      <c r="J2" s="2" t="inlineStr">
        <is>
          <t>宇宙・防衛</t>
        </is>
      </c>
    </row>
    <row r="3">
      <c r="A3" s="2" t="inlineStr">
        <is>
          <t>4661</t>
        </is>
      </c>
      <c r="B3" s="3" t="inlineStr">
        <is>
          <t>オリエンタルランド</t>
        </is>
      </c>
      <c r="C3" s="15" t="n">
        <v>17.88</v>
      </c>
      <c r="D3" s="5" t="n">
        <v>2796</v>
      </c>
      <c r="E3" s="5" t="n">
        <v>49999</v>
      </c>
      <c r="F3" s="5" t="n">
        <v>2635</v>
      </c>
      <c r="G3" s="5" t="n">
        <v>48712</v>
      </c>
      <c r="H3" s="14">
        <f>G3-E3</f>
        <v/>
      </c>
      <c r="I3" s="11">
        <f>IFERROR(H3/E3,0)</f>
        <v/>
      </c>
      <c r="J3" s="2" t="inlineStr">
        <is>
          <t>エンタメ・観光</t>
        </is>
      </c>
    </row>
    <row r="4">
      <c r="A4" s="2" t="inlineStr">
        <is>
          <t>6146</t>
        </is>
      </c>
      <c r="B4" s="3" t="inlineStr">
        <is>
          <t>ディスコ</t>
        </is>
      </c>
      <c r="C4" s="15" t="n">
        <v>0.414</v>
      </c>
      <c r="D4" s="5" t="n">
        <v>72470</v>
      </c>
      <c r="E4" s="5" t="n">
        <v>30000</v>
      </c>
      <c r="F4" s="5" t="n">
        <v>72894</v>
      </c>
      <c r="G4" s="5" t="n">
        <v>28803</v>
      </c>
      <c r="H4" s="14">
        <f>G4-E4</f>
        <v/>
      </c>
      <c r="I4" s="11">
        <f>IFERROR(H4/E4,0)</f>
        <v/>
      </c>
      <c r="J4" s="2" t="inlineStr">
        <is>
          <t>半導体製造装置</t>
        </is>
      </c>
    </row>
    <row r="5">
      <c r="A5" s="2" t="inlineStr">
        <is>
          <t>6460</t>
        </is>
      </c>
      <c r="B5" s="3" t="inlineStr">
        <is>
          <t>セガサミーHD</t>
        </is>
      </c>
      <c r="C5" s="15" t="n">
        <v>0.751</v>
      </c>
      <c r="D5" s="5" t="n">
        <v>2551</v>
      </c>
      <c r="E5" s="5" t="n">
        <v>1914</v>
      </c>
      <c r="F5" s="5" t="n">
        <v>2551</v>
      </c>
      <c r="G5" s="5" t="n">
        <v>1915</v>
      </c>
      <c r="H5" s="14">
        <f>G5-E5</f>
        <v/>
      </c>
      <c r="I5" s="11">
        <f>IFERROR(H5/E5,0)</f>
        <v/>
      </c>
      <c r="J5" s="2" t="inlineStr">
        <is>
          <t>エンタメ・ゲーム</t>
        </is>
      </c>
    </row>
    <row r="6">
      <c r="A6" s="2" t="inlineStr">
        <is>
          <t>6758</t>
        </is>
      </c>
      <c r="B6" s="3" t="inlineStr">
        <is>
          <t>ソニーグループ</t>
        </is>
      </c>
      <c r="C6" s="5" t="n">
        <v>50</v>
      </c>
      <c r="D6" s="5" t="n">
        <v>3260</v>
      </c>
      <c r="E6" s="5" t="n">
        <v>163000</v>
      </c>
      <c r="F6" s="5" t="n">
        <v>3395</v>
      </c>
      <c r="G6" s="5" t="n">
        <v>163550</v>
      </c>
      <c r="H6" s="14">
        <f>G6-E6</f>
        <v/>
      </c>
      <c r="I6" s="11">
        <f>IFERROR(H6/E6,0)</f>
        <v/>
      </c>
      <c r="J6" s="2" t="inlineStr">
        <is>
          <t>電機・エンタメ</t>
        </is>
      </c>
    </row>
    <row r="7">
      <c r="A7" s="2" t="inlineStr">
        <is>
          <t>6857</t>
        </is>
      </c>
      <c r="B7" s="3" t="inlineStr">
        <is>
          <t>アドバンテスト</t>
        </is>
      </c>
      <c r="C7" s="15" t="n">
        <v>1.89</v>
      </c>
      <c r="D7" s="5" t="n">
        <v>26408</v>
      </c>
      <c r="E7" s="5" t="n">
        <v>49999</v>
      </c>
      <c r="F7" s="5" t="n">
        <v>27921</v>
      </c>
      <c r="G7" s="5" t="n">
        <v>45402</v>
      </c>
      <c r="H7" s="14">
        <f>G7-E7</f>
        <v/>
      </c>
      <c r="I7" s="11">
        <f>IFERROR(H7/E7,0)</f>
        <v/>
      </c>
      <c r="J7" s="2" t="inlineStr">
        <is>
          <t>半導体製造装置</t>
        </is>
      </c>
    </row>
    <row r="8">
      <c r="A8" s="2" t="inlineStr">
        <is>
          <t>6954</t>
        </is>
      </c>
      <c r="B8" s="3" t="inlineStr">
        <is>
          <t>ファナック</t>
        </is>
      </c>
      <c r="C8" s="15" t="n">
        <v>7.23</v>
      </c>
      <c r="D8" s="5" t="n">
        <v>6913</v>
      </c>
      <c r="E8" s="5" t="n">
        <v>49999</v>
      </c>
      <c r="F8" s="5" t="n">
        <v>6230</v>
      </c>
      <c r="G8" s="5" t="n">
        <v>42933</v>
      </c>
      <c r="H8" s="14">
        <f>G8-E8</f>
        <v/>
      </c>
      <c r="I8" s="11">
        <f>IFERROR(H8/E8,0)</f>
        <v/>
      </c>
      <c r="J8" s="2" t="inlineStr">
        <is>
          <t>産業用ロボット</t>
        </is>
      </c>
    </row>
    <row r="9">
      <c r="A9" s="2" t="inlineStr">
        <is>
          <t>7011</t>
        </is>
      </c>
      <c r="B9" s="3" t="inlineStr">
        <is>
          <t>三菱重工業</t>
        </is>
      </c>
      <c r="C9" s="15" t="n">
        <v>19.59</v>
      </c>
      <c r="D9" s="5" t="n">
        <v>5104</v>
      </c>
      <c r="E9" s="5" t="n">
        <v>99999</v>
      </c>
      <c r="F9" s="5" t="n">
        <v>4371</v>
      </c>
      <c r="G9" s="5" t="n">
        <v>94984</v>
      </c>
      <c r="H9" s="14">
        <f>G9-E9</f>
        <v/>
      </c>
      <c r="I9" s="11">
        <f>IFERROR(H9/E9,0)</f>
        <v/>
      </c>
      <c r="J9" s="2" t="inlineStr">
        <is>
          <t>重工・防衛</t>
        </is>
      </c>
    </row>
    <row r="10">
      <c r="A10" s="2" t="inlineStr">
        <is>
          <t>7735</t>
        </is>
      </c>
      <c r="B10" s="3" t="inlineStr">
        <is>
          <t>SCREENホールディングス</t>
        </is>
      </c>
      <c r="C10" s="15" t="n">
        <v>1.33</v>
      </c>
      <c r="D10" s="5" t="n">
        <v>22390</v>
      </c>
      <c r="E10" s="5" t="n">
        <v>29999</v>
      </c>
      <c r="F10" s="5" t="n">
        <v>21175</v>
      </c>
      <c r="G10" s="5" t="n">
        <v>26656</v>
      </c>
      <c r="H10" s="14">
        <f>G10-E10</f>
        <v/>
      </c>
      <c r="I10" s="11">
        <f>IFERROR(H10/E10,0)</f>
        <v/>
      </c>
      <c r="J10" s="2" t="inlineStr">
        <is>
          <t>半導体製造装置</t>
        </is>
      </c>
    </row>
    <row r="11">
      <c r="A11" s="2" t="inlineStr">
        <is>
          <t>7974</t>
        </is>
      </c>
      <c r="B11" s="3" t="inlineStr">
        <is>
          <t>任天堂</t>
        </is>
      </c>
      <c r="C11" s="15" t="n">
        <v>11.73</v>
      </c>
      <c r="D11" s="5" t="n">
        <v>8522</v>
      </c>
      <c r="E11" s="5" t="n">
        <v>99999</v>
      </c>
      <c r="F11" s="5" t="n">
        <v>8619</v>
      </c>
      <c r="G11" s="5" t="n">
        <v>114222</v>
      </c>
      <c r="H11" s="14">
        <f>G11-E11</f>
        <v/>
      </c>
      <c r="I11" s="11">
        <f>IFERROR(H11/E11,0)</f>
        <v/>
      </c>
      <c r="J11" s="2" t="inlineStr">
        <is>
          <t>ゲーム</t>
        </is>
      </c>
    </row>
    <row r="12">
      <c r="A12" s="2" t="inlineStr">
        <is>
          <t>8035</t>
        </is>
      </c>
      <c r="B12" s="3" t="inlineStr">
        <is>
          <t>東京エレクトロン</t>
        </is>
      </c>
      <c r="C12" s="15" t="n">
        <v>0.228</v>
      </c>
      <c r="D12" s="5" t="n">
        <v>43777</v>
      </c>
      <c r="E12" s="5" t="n">
        <v>10000</v>
      </c>
      <c r="F12" s="5" t="n">
        <v>44092</v>
      </c>
      <c r="G12" s="5" t="n">
        <v>8984</v>
      </c>
      <c r="H12" s="14">
        <f>G12-E12</f>
        <v/>
      </c>
      <c r="I12" s="11">
        <f>IFERROR(H12/E12,0)</f>
        <v/>
      </c>
      <c r="J12" s="2" t="inlineStr">
        <is>
          <t>半導体製造装置</t>
        </is>
      </c>
    </row>
    <row r="13">
      <c r="A13" s="2" t="inlineStr">
        <is>
          <t>9983</t>
        </is>
      </c>
      <c r="B13" s="3" t="inlineStr">
        <is>
          <t>ファーストリテイリング</t>
        </is>
      </c>
      <c r="C13" s="15" t="n">
        <v>0.149</v>
      </c>
      <c r="D13" s="5" t="n">
        <v>66737</v>
      </c>
      <c r="E13" s="5" t="n">
        <v>10000</v>
      </c>
      <c r="F13" s="5" t="n">
        <v>74463</v>
      </c>
      <c r="G13" s="5" t="n">
        <v>9504</v>
      </c>
      <c r="H13" s="14">
        <f>G13-E13</f>
        <v/>
      </c>
      <c r="I13" s="11">
        <f>IFERROR(H13/E13,0)</f>
        <v/>
      </c>
      <c r="J13" s="2" t="inlineStr">
        <is>
          <t>小売</t>
        </is>
      </c>
    </row>
    <row r="14">
      <c r="A14" s="8" t="inlineStr">
        <is>
          <t>合計</t>
        </is>
      </c>
      <c r="B14" s="16" t="n"/>
      <c r="C14" s="16" t="n"/>
      <c r="D14" s="16" t="n"/>
      <c r="E14" s="10">
        <f>SUM(E2:E13)</f>
        <v/>
      </c>
      <c r="F14" s="16" t="n"/>
      <c r="G14" s="10">
        <f>SUM(G2:G13)</f>
        <v/>
      </c>
      <c r="H14" s="17">
        <f>SUM(H2:H13)</f>
        <v/>
      </c>
      <c r="I14" s="18">
        <f>IFERROR(H14/E14,0)</f>
        <v/>
      </c>
      <c r="J14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2026-04-19T09:17:25Z</dcterms:created>
  <dcterms:modified xsi:type="dcterms:W3CDTF">2026-04-19T09:17:25Z</dcterms:modified>
</cp:coreProperties>
</file>