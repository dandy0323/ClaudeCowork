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週次ログ" sheetId="1" state="visible" r:id="rId3"/>
    <sheet name="②ポートフォリオ推移" sheetId="2" state="visible" r:id="rId4"/>
    <sheet name="③AIアドバイス評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<sst xmlns="http://schemas.openxmlformats.org/spreadsheetml/2006/main" count="70" uniqueCount="52">
  <si>
    <t xml:space="preserve">📊 株式運用ログ — 週次売買記録</t>
  </si>
  <si>
    <t xml:space="preserve">週</t>
  </si>
  <si>
    <t xml:space="preserve">日付</t>
  </si>
  <si>
    <t xml:space="preserve">銘柄コード</t>
  </si>
  <si>
    <t xml:space="preserve">銘柄名</t>
  </si>
  <si>
    <t xml:space="preserve">売買区分</t>
  </si>
  <si>
    <t xml:space="preserve">株数</t>
  </si>
  <si>
    <t xml:space="preserve">価格 (円)</t>
  </si>
  <si>
    <t xml:space="preserve">金額 (円)</t>
  </si>
  <si>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推奨理由</t>
    </r>
  </si>
  <si>
    <t xml:space="preserve">実績評価・メモ</t>
  </si>
  <si>
    <t xml:space="preserve">第1週</t>
  </si>
  <si>
    <t xml:space="preserve">2026/03/21</t>
  </si>
  <si>
    <t xml:space="preserve">7974</t>
  </si>
  <si>
    <t xml:space="preserve">任天堂</t>
  </si>
  <si>
    <t xml:space="preserve">保有継続</t>
  </si>
  <si>
    <r>
      <rPr>
        <sz val="10"/>
        <rFont val="Arial"/>
        <family val="0"/>
        <charset val="1"/>
      </rPr>
      <t xml:space="preserve">Switch2</t>
    </r>
    <r>
      <rPr>
        <sz val="10"/>
        <rFont val="Noto Sans CJK SC"/>
        <family val="2"/>
      </rPr>
      <t xml:space="preserve">販売好調・増配期待。含み益</t>
    </r>
    <r>
      <rPr>
        <sz val="10"/>
        <rFont val="Arial"/>
        <family val="0"/>
        <charset val="1"/>
      </rPr>
      <t xml:space="preserve">+14,223</t>
    </r>
    <r>
      <rPr>
        <sz val="10"/>
        <rFont val="Noto Sans CJK SC"/>
        <family val="2"/>
      </rPr>
      <t xml:space="preserve">円で中期保有継続</t>
    </r>
  </si>
  <si>
    <t xml:space="preserve">〇  市場全体軟調の中でゲーム株は比較的堅調</t>
  </si>
  <si>
    <t xml:space="preserve">7011</t>
  </si>
  <si>
    <t xml:space="preserve">三菱重工業</t>
  </si>
  <si>
    <t xml:space="preserve">中東情勢緊迫化で防衛株に継続的な買い。日米首脳会談注目</t>
  </si>
  <si>
    <t xml:space="preserve">△  高値5,208円から調整中。方針確認中</t>
  </si>
  <si>
    <t xml:space="preserve">290A</t>
  </si>
  <si>
    <t xml:space="preserve">Synspective</t>
  </si>
  <si>
    <r>
      <rPr>
        <sz val="10"/>
        <rFont val="Arial"/>
        <family val="0"/>
        <charset val="1"/>
      </rPr>
      <t xml:space="preserve">SAR</t>
    </r>
    <r>
      <rPr>
        <sz val="10"/>
        <rFont val="Noto Sans CJK SC"/>
        <family val="2"/>
      </rPr>
      <t xml:space="preserve">衛星打ち上げ日程発表が好材料。グロース株地合い注意</t>
    </r>
  </si>
  <si>
    <t xml:space="preserve">〇  含み益+12,200円維持。目標株価設定を検討</t>
  </si>
  <si>
    <t xml:space="preserve">ℹ️  入力規則: 売買区分はドロップダウンから選択。 価格(円)と株数を入力すると金額が自動計算されます。 黄色セル=入力欄 / 白セル=自動計算 / 青文字=参照値</t>
  </si>
  <si>
    <t xml:space="preserve">📈 ポートフォリオ推移ログ</t>
  </si>
  <si>
    <t xml:space="preserve">記録日</t>
  </si>
  <si>
    <t xml:space="preserve">評価総額 (円)</t>
  </si>
  <si>
    <t xml:space="preserve">現金残高 (円)</t>
  </si>
  <si>
    <t xml:space="preserve">現金比率 (%)</t>
  </si>
  <si>
    <t xml:space="preserve">損益額 (円)</t>
  </si>
  <si>
    <t xml:space="preserve">損益率 (%)</t>
  </si>
  <si>
    <t xml:space="preserve">メモ・所感</t>
  </si>
  <si>
    <t xml:space="preserve">初回記録。11銘柄保有・取得総額717,213円。中東リスクで半導体株軟調</t>
  </si>
  <si>
    <t xml:space="preserve">ℹ️  入力欄（黄色）: 評価総額・現金残高・損益額を毎週記録してください。 現金比率・損益率は自動計算されます。損益額の色が自動で赤↔緑に変化します。</t>
  </si>
  <si>
    <r>
      <rPr>
        <b val="true"/>
        <sz val="14"/>
        <color rgb="FFFFFFFF"/>
        <rFont val="Arial"/>
        <family val="0"/>
        <charset val="1"/>
      </rPr>
      <t xml:space="preserve">🤖 AI</t>
    </r>
    <r>
      <rPr>
        <b val="true"/>
        <sz val="14"/>
        <color rgb="FFFFFFFF"/>
        <rFont val="Noto Sans CJK SC"/>
        <family val="2"/>
      </rPr>
      <t xml:space="preserve">アドバイス評価ログ（答え合わせ）</t>
    </r>
  </si>
  <si>
    <t xml:space="preserve">推奨銘柄（コード・名称）</t>
  </si>
  <si>
    <t xml:space="preserve">推奨方向</t>
  </si>
  <si>
    <t xml:space="preserve">実際の騰落率 (%)</t>
  </si>
  <si>
    <t xml:space="preserve">評価 (〇△×)</t>
  </si>
  <si>
    <t xml:space="preserve">失敗・ズレ原因の分析</t>
  </si>
  <si>
    <t xml:space="preserve">次週への改善・教訓</t>
  </si>
  <si>
    <r>
      <rPr>
        <sz val="10"/>
        <rFont val="Arial"/>
        <family val="0"/>
        <charset val="1"/>
      </rPr>
      <t xml:space="preserve">7974 </t>
    </r>
    <r>
      <rPr>
        <sz val="10"/>
        <rFont val="Noto Sans CJK SC"/>
        <family val="2"/>
      </rPr>
      <t xml:space="preserve">任天堂</t>
    </r>
  </si>
  <si>
    <t xml:space="preserve">初回のため評価なし</t>
  </si>
  <si>
    <t xml:space="preserve">半導体集中リスクの確認・三菱重工の日米首脳会談後の動向を注視</t>
  </si>
  <si>
    <r>
      <rPr>
        <sz val="10"/>
        <rFont val="Arial"/>
        <family val="0"/>
        <charset val="1"/>
      </rPr>
      <t xml:space="preserve">7011 </t>
    </r>
    <r>
      <rPr>
        <sz val="10"/>
        <rFont val="Noto Sans CJK SC"/>
        <family val="2"/>
      </rPr>
      <t xml:space="preserve">三菱重工業</t>
    </r>
  </si>
  <si>
    <t xml:space="preserve">高値調整中。防衛費テーマは継続中。来週の首脳会談発言に注目</t>
  </si>
  <si>
    <t xml:space="preserve">290A Synspective</t>
  </si>
  <si>
    <t xml:space="preserve">グロース株は地合い連動大。利益確定ラインを事前設定することを推奨</t>
  </si>
  <si>
    <t xml:space="preserve">ℹ️  入力欄（黄色）: 翌週に実際の騰落率・評価・失敗原因を記録。 評価(〇△×)は色が自動変化します。AIの推奨が適切だったか毎週振り返ってください。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</si>
</sst>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#,##0"/>
    <numFmt numFmtId="167" formatCode="0.0%"/>
    <numFmt numFmtId="168" formatCode="#,##0;\(#,##0\);\-"/>
    <numFmt numFmtId="169" formatCode="0.00%;\(0.0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Noto Sans CJK SC"/>
      <family val="2"/>
    </font>
    <font>
      <i val="true"/>
      <sz val="9"/>
      <color rgb="FF595959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2FA"/>
      </patternFill>
    </fill>
    <fill>
      <patternFill patternType="solid">
        <fgColor rgb="FFEBF2F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2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40"/>
    <col collapsed="false" customWidth="true" hidden="false" outlineLevel="0" max="10" min="10" style="1" width="3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10</v>
      </c>
    </row>
    <row r="3" customFormat="false" ht="42" hidden="false" customHeight="true" outlineLevel="0" collapsed="false">
      <c r="A3" s="5" t="s">
        <v>11</v>
      </c>
      <c r="B3" s="6" t="s">
        <v>12</v>
      </c>
      <c r="C3" s="7" t="s">
        <v>13</v>
      </c>
      <c r="D3" s="8" t="s">
        <v>14</v>
      </c>
      <c r="E3" s="9" t="s">
        <v>15</v>
      </c>
      <c r="F3" s="10" t="n">
        <v>11.73</v>
      </c>
      <c r="G3" s="11" t="n">
        <v>9734</v>
      </c>
      <c r="H3" s="12" t="n">
        <f aca="false">F3*G3</f>
        <v>114179.82</v>
      </c>
      <c r="I3" s="13" t="s">
        <v>16</v>
      </c>
      <c r="J3" s="8" t="s">
        <v>17</v>
      </c>
    </row>
    <row r="4" customFormat="false" ht="42" hidden="false" customHeight="true" outlineLevel="0" collapsed="false">
      <c r="A4" s="14" t="s">
        <v>11</v>
      </c>
      <c r="B4" s="15" t="s">
        <v>12</v>
      </c>
      <c r="C4" s="16" t="s">
        <v>18</v>
      </c>
      <c r="D4" s="17" t="s">
        <v>19</v>
      </c>
      <c r="E4" s="9" t="s">
        <v>15</v>
      </c>
      <c r="F4" s="18" t="n">
        <v>19.59</v>
      </c>
      <c r="G4" s="19" t="n">
        <v>4848</v>
      </c>
      <c r="H4" s="20" t="n">
        <f aca="false">F4*G4</f>
        <v>94972.32</v>
      </c>
      <c r="I4" s="17" t="s">
        <v>20</v>
      </c>
      <c r="J4" s="17" t="s">
        <v>21</v>
      </c>
    </row>
    <row r="5" customFormat="false" ht="42" hidden="false" customHeight="true" outlineLevel="0" collapsed="false">
      <c r="A5" s="5" t="s">
        <v>11</v>
      </c>
      <c r="B5" s="21" t="s">
        <v>12</v>
      </c>
      <c r="C5" s="7" t="s">
        <v>22</v>
      </c>
      <c r="D5" s="13" t="s">
        <v>23</v>
      </c>
      <c r="E5" s="9" t="s">
        <v>15</v>
      </c>
      <c r="F5" s="10" t="n">
        <v>100</v>
      </c>
      <c r="G5" s="11" t="n">
        <v>1367</v>
      </c>
      <c r="H5" s="12" t="n">
        <f aca="false">F5*G5</f>
        <v>136700</v>
      </c>
      <c r="I5" s="13" t="s">
        <v>24</v>
      </c>
      <c r="J5" s="8" t="s">
        <v>25</v>
      </c>
    </row>
    <row r="6" customFormat="false" ht="36" hidden="false" customHeight="true" outlineLevel="0" collapsed="false">
      <c r="A6" s="22"/>
      <c r="B6" s="22"/>
      <c r="C6" s="22"/>
      <c r="D6" s="22"/>
      <c r="E6" s="22"/>
      <c r="F6" s="23"/>
      <c r="G6" s="23"/>
      <c r="H6" s="24" t="str">
        <f aca="false">IF(F6="","",F6*G6)</f>
        <v/>
      </c>
      <c r="I6" s="22"/>
      <c r="J6" s="22"/>
    </row>
    <row r="7" customFormat="false" ht="36" hidden="false" customHeight="true" outlineLevel="0" collapsed="false">
      <c r="A7" s="22"/>
      <c r="B7" s="22"/>
      <c r="C7" s="22"/>
      <c r="D7" s="22"/>
      <c r="E7" s="22"/>
      <c r="F7" s="23"/>
      <c r="G7" s="23"/>
      <c r="H7" s="24" t="str">
        <f aca="false">IF(F7="","",F7*G7)</f>
        <v/>
      </c>
      <c r="I7" s="22"/>
      <c r="J7" s="22"/>
    </row>
    <row r="8" customFormat="false" ht="36" hidden="false" customHeight="true" outlineLevel="0" collapsed="false">
      <c r="A8" s="22"/>
      <c r="B8" s="22"/>
      <c r="C8" s="22"/>
      <c r="D8" s="22"/>
      <c r="E8" s="22"/>
      <c r="F8" s="23"/>
      <c r="G8" s="23"/>
      <c r="H8" s="24" t="str">
        <f aca="false">IF(F8="","",F8*G8)</f>
        <v/>
      </c>
      <c r="I8" s="22"/>
      <c r="J8" s="22"/>
    </row>
    <row r="9" customFormat="false" ht="36" hidden="false" customHeight="true" outlineLevel="0" collapsed="false">
      <c r="A9" s="22"/>
      <c r="B9" s="22"/>
      <c r="C9" s="22"/>
      <c r="D9" s="22"/>
      <c r="E9" s="22"/>
      <c r="F9" s="23"/>
      <c r="G9" s="23"/>
      <c r="H9" s="24" t="str">
        <f aca="false">IF(F9="","",F9*G9)</f>
        <v/>
      </c>
      <c r="I9" s="22"/>
      <c r="J9" s="22"/>
    </row>
    <row r="10" customFormat="false" ht="36" hidden="false" customHeight="true" outlineLevel="0" collapsed="false">
      <c r="A10" s="22"/>
      <c r="B10" s="22"/>
      <c r="C10" s="22"/>
      <c r="D10" s="22"/>
      <c r="E10" s="22"/>
      <c r="F10" s="23"/>
      <c r="G10" s="23"/>
      <c r="H10" s="24" t="str">
        <f aca="false">IF(F10="","",F10*G10)</f>
        <v/>
      </c>
      <c r="I10" s="22"/>
      <c r="J10" s="22"/>
    </row>
    <row r="11" customFormat="false" ht="36" hidden="false" customHeight="true" outlineLevel="0" collapsed="false">
      <c r="A11" s="22"/>
      <c r="B11" s="22"/>
      <c r="C11" s="22"/>
      <c r="D11" s="22"/>
      <c r="E11" s="22"/>
      <c r="F11" s="23"/>
      <c r="G11" s="23"/>
      <c r="H11" s="24" t="str">
        <f aca="false">IF(F11="","",F11*G11)</f>
        <v/>
      </c>
      <c r="I11" s="22"/>
      <c r="J11" s="22"/>
    </row>
    <row r="12" customFormat="false" ht="36" hidden="false" customHeight="true" outlineLevel="0" collapsed="false">
      <c r="A12" s="22"/>
      <c r="B12" s="22"/>
      <c r="C12" s="22"/>
      <c r="D12" s="22"/>
      <c r="E12" s="22"/>
      <c r="F12" s="23"/>
      <c r="G12" s="23"/>
      <c r="H12" s="24" t="str">
        <f aca="false">IF(F12="","",F12*G12)</f>
        <v/>
      </c>
      <c r="I12" s="22"/>
      <c r="J12" s="22"/>
    </row>
    <row r="13" customFormat="false" ht="36" hidden="false" customHeight="true" outlineLevel="0" collapsed="false">
      <c r="A13" s="22"/>
      <c r="B13" s="22"/>
      <c r="C13" s="22"/>
      <c r="D13" s="22"/>
      <c r="E13" s="22"/>
      <c r="F13" s="23"/>
      <c r="G13" s="23"/>
      <c r="H13" s="24" t="str">
        <f aca="false">IF(F13="","",F13*G13)</f>
        <v/>
      </c>
      <c r="I13" s="22"/>
      <c r="J13" s="22"/>
    </row>
    <row r="14" customFormat="false" ht="36" hidden="false" customHeight="true" outlineLevel="0" collapsed="false">
      <c r="A14" s="22"/>
      <c r="B14" s="22"/>
      <c r="C14" s="22"/>
      <c r="D14" s="22"/>
      <c r="E14" s="22"/>
      <c r="F14" s="23"/>
      <c r="G14" s="23"/>
      <c r="H14" s="24" t="str">
        <f aca="false">IF(F14="","",F14*G14)</f>
        <v/>
      </c>
      <c r="I14" s="22"/>
      <c r="J14" s="22"/>
    </row>
    <row r="15" customFormat="false" ht="36" hidden="false" customHeight="true" outlineLevel="0" collapsed="false">
      <c r="A15" s="22"/>
      <c r="B15" s="22"/>
      <c r="C15" s="22"/>
      <c r="D15" s="22"/>
      <c r="E15" s="22"/>
      <c r="F15" s="23"/>
      <c r="G15" s="23"/>
      <c r="H15" s="24" t="str">
        <f aca="false">IF(F15="","",F15*G15)</f>
        <v/>
      </c>
      <c r="I15" s="22"/>
      <c r="J15" s="22"/>
    </row>
    <row r="16" customFormat="false" ht="36" hidden="false" customHeight="true" outlineLevel="0" collapsed="false">
      <c r="A16" s="22"/>
      <c r="B16" s="22"/>
      <c r="C16" s="22"/>
      <c r="D16" s="22"/>
      <c r="E16" s="22"/>
      <c r="F16" s="23"/>
      <c r="G16" s="23"/>
      <c r="H16" s="24" t="str">
        <f aca="false">IF(F16="","",F16*G16)</f>
        <v/>
      </c>
      <c r="I16" s="22"/>
      <c r="J16" s="22"/>
    </row>
    <row r="17" customFormat="false" ht="36" hidden="false" customHeight="true" outlineLevel="0" collapsed="false">
      <c r="A17" s="22"/>
      <c r="B17" s="22"/>
      <c r="C17" s="22"/>
      <c r="D17" s="22"/>
      <c r="E17" s="22"/>
      <c r="F17" s="23"/>
      <c r="G17" s="23"/>
      <c r="H17" s="24" t="str">
        <f aca="false">IF(F17="","",F17*G17)</f>
        <v/>
      </c>
      <c r="I17" s="22"/>
      <c r="J17" s="22"/>
    </row>
    <row r="18" customFormat="false" ht="36" hidden="false" customHeight="true" outlineLevel="0" collapsed="false">
      <c r="A18" s="22"/>
      <c r="B18" s="22"/>
      <c r="C18" s="22"/>
      <c r="D18" s="22"/>
      <c r="E18" s="22"/>
      <c r="F18" s="23"/>
      <c r="G18" s="23"/>
      <c r="H18" s="24" t="str">
        <f aca="false">IF(F18="","",F18*G18)</f>
        <v/>
      </c>
      <c r="I18" s="22"/>
      <c r="J18" s="22"/>
    </row>
    <row r="19" customFormat="false" ht="36" hidden="false" customHeight="true" outlineLevel="0" collapsed="false">
      <c r="A19" s="22"/>
      <c r="B19" s="22"/>
      <c r="C19" s="22"/>
      <c r="D19" s="22"/>
      <c r="E19" s="22"/>
      <c r="F19" s="23"/>
      <c r="G19" s="23"/>
      <c r="H19" s="24" t="str">
        <f aca="false">IF(F19="","",F19*G19)</f>
        <v/>
      </c>
      <c r="I19" s="22"/>
      <c r="J19" s="22"/>
    </row>
    <row r="20" customFormat="false" ht="36" hidden="false" customHeight="true" outlineLevel="0" collapsed="false">
      <c r="A20" s="22"/>
      <c r="B20" s="22"/>
      <c r="C20" s="22"/>
      <c r="D20" s="22"/>
      <c r="E20" s="22"/>
      <c r="F20" s="23"/>
      <c r="G20" s="23"/>
      <c r="H20" s="24" t="str">
        <f aca="false">IF(F20="","",F20*G20)</f>
        <v/>
      </c>
      <c r="I20" s="22"/>
      <c r="J20" s="22"/>
    </row>
    <row r="22" customFormat="false" ht="30" hidden="false" customHeight="true" outlineLevel="0" collapsed="false">
      <c r="A22" s="25" t="s">
        <v>26</v>
      </c>
      <c r="B22" s="25"/>
      <c r="C22" s="25"/>
      <c r="D22" s="25"/>
      <c r="E22" s="25"/>
      <c r="F22" s="25"/>
      <c r="G22" s="25"/>
      <c r="H22" s="25"/>
      <c r="I22" s="25"/>
      <c r="J22" s="25"/>
    </row>
  </sheetData>
  <mergeCells count="2">
    <mergeCell ref="A1:J1"/>
    <mergeCell ref="A22:J22"/>
  </mergeCells>
  <dataValidations count="1">
    <dataValidation allowBlank="false" errorStyle="stop" operator="between" showDropDown="false" showErrorMessage="false" showInputMessage="false" sqref="E3:E50" type="list">
      <formula1>"買い,売り,保有継続,一部売り,一部買い増し"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40"/>
  </cols>
  <sheetData>
    <row r="1" customFormat="false" ht="36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</row>
    <row r="3" customFormat="false" ht="39.75" hidden="false" customHeight="true" outlineLevel="0" collapsed="false">
      <c r="A3" s="5" t="s">
        <v>11</v>
      </c>
      <c r="B3" s="7" t="s">
        <v>12</v>
      </c>
      <c r="C3" s="26" t="n">
        <v>712470</v>
      </c>
      <c r="D3" s="26" t="n">
        <v>0</v>
      </c>
      <c r="E3" s="27" t="n">
        <f aca="false">IF(C3+D3=0,"-",D3/(C3+D3))</f>
        <v>0</v>
      </c>
      <c r="F3" s="28" t="n">
        <v>-4743</v>
      </c>
      <c r="G3" s="29" t="n">
        <f aca="false">IF(C3=0,"-",F3/(C3-F3))</f>
        <v>-0.00661309820095286</v>
      </c>
      <c r="H3" s="30" t="s">
        <v>35</v>
      </c>
    </row>
    <row r="4" customFormat="false" ht="36" hidden="false" customHeight="true" outlineLevel="0" collapsed="false">
      <c r="A4" s="30"/>
      <c r="B4" s="31"/>
      <c r="C4" s="32"/>
      <c r="D4" s="32"/>
      <c r="E4" s="27" t="str">
        <f aca="false">IF(C4+D4=0,"-",D4/(C4+D4))</f>
        <v>-</v>
      </c>
      <c r="F4" s="32"/>
      <c r="G4" s="29" t="str">
        <f aca="false">IF(C4=0,"-",F4/(C4-F4))</f>
        <v>-</v>
      </c>
      <c r="H4" s="30"/>
    </row>
    <row r="5" customFormat="false" ht="36" hidden="false" customHeight="true" outlineLevel="0" collapsed="false">
      <c r="A5" s="30"/>
      <c r="B5" s="31"/>
      <c r="C5" s="32"/>
      <c r="D5" s="32"/>
      <c r="E5" s="27" t="str">
        <f aca="false">IF(C5+D5=0,"-",D5/(C5+D5))</f>
        <v>-</v>
      </c>
      <c r="F5" s="32"/>
      <c r="G5" s="29" t="str">
        <f aca="false">IF(C5=0,"-",F5/(C5-F5))</f>
        <v>-</v>
      </c>
      <c r="H5" s="30"/>
    </row>
    <row r="6" customFormat="false" ht="36" hidden="false" customHeight="true" outlineLevel="0" collapsed="false">
      <c r="A6" s="30"/>
      <c r="B6" s="31"/>
      <c r="C6" s="32"/>
      <c r="D6" s="32"/>
      <c r="E6" s="27" t="str">
        <f aca="false">IF(C6+D6=0,"-",D6/(C6+D6))</f>
        <v>-</v>
      </c>
      <c r="F6" s="32"/>
      <c r="G6" s="29" t="str">
        <f aca="false">IF(C6=0,"-",F6/(C6-F6))</f>
        <v>-</v>
      </c>
      <c r="H6" s="30"/>
    </row>
    <row r="7" customFormat="false" ht="36" hidden="false" customHeight="true" outlineLevel="0" collapsed="false">
      <c r="A7" s="30"/>
      <c r="B7" s="31"/>
      <c r="C7" s="32"/>
      <c r="D7" s="32"/>
      <c r="E7" s="27" t="str">
        <f aca="false">IF(C7+D7=0,"-",D7/(C7+D7))</f>
        <v>-</v>
      </c>
      <c r="F7" s="32"/>
      <c r="G7" s="29" t="str">
        <f aca="false">IF(C7=0,"-",F7/(C7-F7))</f>
        <v>-</v>
      </c>
      <c r="H7" s="30"/>
    </row>
    <row r="8" customFormat="false" ht="36" hidden="false" customHeight="true" outlineLevel="0" collapsed="false">
      <c r="A8" s="30"/>
      <c r="B8" s="31"/>
      <c r="C8" s="32"/>
      <c r="D8" s="32"/>
      <c r="E8" s="27" t="str">
        <f aca="false">IF(C8+D8=0,"-",D8/(C8+D8))</f>
        <v>-</v>
      </c>
      <c r="F8" s="32"/>
      <c r="G8" s="29" t="str">
        <f aca="false">IF(C8=0,"-",F8/(C8-F8))</f>
        <v>-</v>
      </c>
      <c r="H8" s="30"/>
    </row>
    <row r="9" customFormat="false" ht="36" hidden="false" customHeight="true" outlineLevel="0" collapsed="false">
      <c r="A9" s="30"/>
      <c r="B9" s="31"/>
      <c r="C9" s="32"/>
      <c r="D9" s="32"/>
      <c r="E9" s="27" t="str">
        <f aca="false">IF(C9+D9=0,"-",D9/(C9+D9))</f>
        <v>-</v>
      </c>
      <c r="F9" s="32"/>
      <c r="G9" s="29" t="str">
        <f aca="false">IF(C9=0,"-",F9/(C9-F9))</f>
        <v>-</v>
      </c>
      <c r="H9" s="30"/>
    </row>
    <row r="10" customFormat="false" ht="36" hidden="false" customHeight="true" outlineLevel="0" collapsed="false">
      <c r="A10" s="30"/>
      <c r="B10" s="31"/>
      <c r="C10" s="32"/>
      <c r="D10" s="32"/>
      <c r="E10" s="27" t="str">
        <f aca="false">IF(C10+D10=0,"-",D10/(C10+D10))</f>
        <v>-</v>
      </c>
      <c r="F10" s="32"/>
      <c r="G10" s="29" t="str">
        <f aca="false">IF(C10=0,"-",F10/(C10-F10))</f>
        <v>-</v>
      </c>
      <c r="H10" s="30"/>
    </row>
    <row r="11" customFormat="false" ht="36" hidden="false" customHeight="true" outlineLevel="0" collapsed="false">
      <c r="A11" s="30"/>
      <c r="B11" s="31"/>
      <c r="C11" s="32"/>
      <c r="D11" s="32"/>
      <c r="E11" s="27" t="str">
        <f aca="false">IF(C11+D11=0,"-",D11/(C11+D11))</f>
        <v>-</v>
      </c>
      <c r="F11" s="32"/>
      <c r="G11" s="29" t="str">
        <f aca="false">IF(C11=0,"-",F11/(C11-F11))</f>
        <v>-</v>
      </c>
      <c r="H11" s="30"/>
    </row>
    <row r="12" customFormat="false" ht="36" hidden="false" customHeight="true" outlineLevel="0" collapsed="false">
      <c r="A12" s="30"/>
      <c r="B12" s="31"/>
      <c r="C12" s="32"/>
      <c r="D12" s="32"/>
      <c r="E12" s="27" t="str">
        <f aca="false">IF(C12+D12=0,"-",D12/(C12+D12))</f>
        <v>-</v>
      </c>
      <c r="F12" s="32"/>
      <c r="G12" s="29" t="str">
        <f aca="false">IF(C12=0,"-",F12/(C12-F12))</f>
        <v>-</v>
      </c>
      <c r="H12" s="30"/>
    </row>
    <row r="13" customFormat="false" ht="36" hidden="false" customHeight="true" outlineLevel="0" collapsed="false">
      <c r="A13" s="30"/>
      <c r="B13" s="31"/>
      <c r="C13" s="32"/>
      <c r="D13" s="32"/>
      <c r="E13" s="27" t="str">
        <f aca="false">IF(C13+D13=0,"-",D13/(C13+D13))</f>
        <v>-</v>
      </c>
      <c r="F13" s="32"/>
      <c r="G13" s="29" t="str">
        <f aca="false">IF(C13=0,"-",F13/(C13-F13))</f>
        <v>-</v>
      </c>
      <c r="H13" s="30"/>
    </row>
    <row r="14" customFormat="false" ht="36" hidden="false" customHeight="true" outlineLevel="0" collapsed="false">
      <c r="A14" s="30"/>
      <c r="B14" s="31"/>
      <c r="C14" s="32"/>
      <c r="D14" s="32"/>
      <c r="E14" s="27" t="str">
        <f aca="false">IF(C14+D14=0,"-",D14/(C14+D14))</f>
        <v>-</v>
      </c>
      <c r="F14" s="32"/>
      <c r="G14" s="29" t="str">
        <f aca="false">IF(C14=0,"-",F14/(C14-F14))</f>
        <v>-</v>
      </c>
      <c r="H14" s="30"/>
    </row>
    <row r="15" customFormat="false" ht="36" hidden="false" customHeight="true" outlineLevel="0" collapsed="false">
      <c r="A15" s="30"/>
      <c r="B15" s="31"/>
      <c r="C15" s="32"/>
      <c r="D15" s="32"/>
      <c r="E15" s="27" t="str">
        <f aca="false">IF(C15+D15=0,"-",D15/(C15+D15))</f>
        <v>-</v>
      </c>
      <c r="F15" s="32"/>
      <c r="G15" s="29" t="str">
        <f aca="false">IF(C15=0,"-",F15/(C15-F15))</f>
        <v>-</v>
      </c>
      <c r="H15" s="30"/>
    </row>
    <row r="16" customFormat="false" ht="36" hidden="false" customHeight="true" outlineLevel="0" collapsed="false">
      <c r="A16" s="30"/>
      <c r="B16" s="31"/>
      <c r="C16" s="32"/>
      <c r="D16" s="32"/>
      <c r="E16" s="27" t="str">
        <f aca="false">IF(C16+D16=0,"-",D16/(C16+D16))</f>
        <v>-</v>
      </c>
      <c r="F16" s="32"/>
      <c r="G16" s="29" t="str">
        <f aca="false">IF(C16=0,"-",F16/(C16-F16))</f>
        <v>-</v>
      </c>
      <c r="H16" s="30"/>
    </row>
    <row r="17" customFormat="false" ht="36" hidden="false" customHeight="true" outlineLevel="0" collapsed="false">
      <c r="A17" s="30"/>
      <c r="B17" s="31"/>
      <c r="C17" s="32"/>
      <c r="D17" s="32"/>
      <c r="E17" s="27" t="str">
        <f aca="false">IF(C17+D17=0,"-",D17/(C17+D17))</f>
        <v>-</v>
      </c>
      <c r="F17" s="32"/>
      <c r="G17" s="29" t="str">
        <f aca="false">IF(C17=0,"-",F17/(C17-F17))</f>
        <v>-</v>
      </c>
      <c r="H17" s="30"/>
    </row>
    <row r="18" customFormat="false" ht="36" hidden="false" customHeight="true" outlineLevel="0" collapsed="false">
      <c r="A18" s="30"/>
      <c r="B18" s="31"/>
      <c r="C18" s="32"/>
      <c r="D18" s="32"/>
      <c r="E18" s="27" t="str">
        <f aca="false">IF(C18+D18=0,"-",D18/(C18+D18))</f>
        <v>-</v>
      </c>
      <c r="F18" s="32"/>
      <c r="G18" s="29" t="str">
        <f aca="false">IF(C18=0,"-",F18/(C18-F18))</f>
        <v>-</v>
      </c>
      <c r="H18" s="30"/>
    </row>
    <row r="19" customFormat="false" ht="36" hidden="false" customHeight="true" outlineLevel="0" collapsed="false">
      <c r="A19" s="30"/>
      <c r="B19" s="31"/>
      <c r="C19" s="32"/>
      <c r="D19" s="32"/>
      <c r="E19" s="27" t="str">
        <f aca="false">IF(C19+D19=0,"-",D19/(C19+D19))</f>
        <v>-</v>
      </c>
      <c r="F19" s="32"/>
      <c r="G19" s="29" t="str">
        <f aca="false">IF(C19=0,"-",F19/(C19-F19))</f>
        <v>-</v>
      </c>
      <c r="H19" s="30"/>
    </row>
    <row r="20" customFormat="false" ht="36" hidden="false" customHeight="true" outlineLevel="0" collapsed="false">
      <c r="A20" s="30"/>
      <c r="B20" s="31"/>
      <c r="C20" s="32"/>
      <c r="D20" s="32"/>
      <c r="E20" s="27" t="str">
        <f aca="false">IF(C20+D20=0,"-",D20/(C20+D20))</f>
        <v>-</v>
      </c>
      <c r="F20" s="32"/>
      <c r="G20" s="29" t="str">
        <f aca="false">IF(C20=0,"-",F20/(C20-F20))</f>
        <v>-</v>
      </c>
      <c r="H20" s="30"/>
    </row>
    <row r="22" customFormat="false" ht="30" hidden="false" customHeight="true" outlineLevel="0" collapsed="false">
      <c r="A22" s="25" t="s">
        <v>36</v>
      </c>
      <c r="B22" s="25"/>
      <c r="C22" s="25"/>
      <c r="D22" s="25"/>
      <c r="E22" s="25"/>
      <c r="F22" s="25"/>
      <c r="G22" s="25"/>
      <c r="H22" s="25"/>
    </row>
  </sheetData>
  <mergeCells count="2">
    <mergeCell ref="A1:H1"/>
    <mergeCell ref="A22:H22"/>
  </mergeCells>
  <conditionalFormatting sqref="F3:F20">
    <cfRule type="colorScale" priority="2">
      <colorScale>
        <cfvo type="min" val="0"/>
        <cfvo type="num" val="0"/>
        <cfvo type="max" val="0"/>
        <color rgb="FFFFC7CE"/>
        <color rgb="FFFFFFFF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38"/>
    <col collapsed="false" customWidth="true" hidden="false" outlineLevel="0" max="7" min="7" style="1" width="36"/>
  </cols>
  <sheetData>
    <row r="1" customFormat="false" ht="36" hidden="false" customHeight="true" outlineLevel="0" collapsed="false">
      <c r="A1" s="33" t="s">
        <v>37</v>
      </c>
      <c r="B1" s="33"/>
      <c r="C1" s="33"/>
      <c r="D1" s="33"/>
      <c r="E1" s="33"/>
      <c r="F1" s="33"/>
      <c r="G1" s="33"/>
    </row>
    <row r="2" customFormat="false" ht="18" hidden="false" customHeight="true" outlineLevel="0" collapsed="false">
      <c r="A2" s="3" t="s">
        <v>1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</row>
    <row r="3" customFormat="false" ht="49.5" hidden="false" customHeight="true" outlineLevel="0" collapsed="false">
      <c r="A3" s="34" t="s">
        <v>11</v>
      </c>
      <c r="B3" s="35" t="s">
        <v>44</v>
      </c>
      <c r="C3" s="9" t="s">
        <v>15</v>
      </c>
      <c r="D3" s="36"/>
      <c r="E3" s="31"/>
      <c r="F3" s="30" t="s">
        <v>45</v>
      </c>
      <c r="G3" s="30" t="s">
        <v>46</v>
      </c>
    </row>
    <row r="4" customFormat="false" ht="49.5" hidden="false" customHeight="true" outlineLevel="0" collapsed="false">
      <c r="A4" s="14" t="s">
        <v>11</v>
      </c>
      <c r="B4" s="37" t="s">
        <v>47</v>
      </c>
      <c r="C4" s="9" t="s">
        <v>15</v>
      </c>
      <c r="D4" s="36"/>
      <c r="E4" s="31"/>
      <c r="F4" s="30" t="s">
        <v>45</v>
      </c>
      <c r="G4" s="30" t="s">
        <v>48</v>
      </c>
    </row>
    <row r="5" customFormat="false" ht="49.5" hidden="false" customHeight="true" outlineLevel="0" collapsed="false">
      <c r="A5" s="34" t="s">
        <v>11</v>
      </c>
      <c r="B5" s="35" t="s">
        <v>49</v>
      </c>
      <c r="C5" s="9" t="s">
        <v>15</v>
      </c>
      <c r="D5" s="36"/>
      <c r="E5" s="31"/>
      <c r="F5" s="30" t="s">
        <v>45</v>
      </c>
      <c r="G5" s="30" t="s">
        <v>50</v>
      </c>
    </row>
    <row r="6" customFormat="false" ht="43.5" hidden="false" customHeight="true" outlineLevel="0" collapsed="false">
      <c r="A6" s="14"/>
      <c r="B6" s="30"/>
      <c r="C6" s="31"/>
      <c r="D6" s="36"/>
      <c r="E6" s="31"/>
      <c r="F6" s="30"/>
      <c r="G6" s="30"/>
    </row>
    <row r="7" customFormat="false" ht="43.5" hidden="false" customHeight="true" outlineLevel="0" collapsed="false">
      <c r="A7" s="34"/>
      <c r="B7" s="30"/>
      <c r="C7" s="31"/>
      <c r="D7" s="36"/>
      <c r="E7" s="31"/>
      <c r="F7" s="30"/>
      <c r="G7" s="30"/>
    </row>
    <row r="8" customFormat="false" ht="43.5" hidden="false" customHeight="true" outlineLevel="0" collapsed="false">
      <c r="A8" s="14"/>
      <c r="B8" s="30"/>
      <c r="C8" s="31"/>
      <c r="D8" s="36"/>
      <c r="E8" s="31"/>
      <c r="F8" s="30"/>
      <c r="G8" s="30"/>
    </row>
    <row r="9" customFormat="false" ht="43.5" hidden="false" customHeight="true" outlineLevel="0" collapsed="false">
      <c r="A9" s="34"/>
      <c r="B9" s="30"/>
      <c r="C9" s="31"/>
      <c r="D9" s="36"/>
      <c r="E9" s="31"/>
      <c r="F9" s="30"/>
      <c r="G9" s="30"/>
    </row>
    <row r="10" customFormat="false" ht="43.5" hidden="false" customHeight="true" outlineLevel="0" collapsed="false">
      <c r="A10" s="14"/>
      <c r="B10" s="30"/>
      <c r="C10" s="31"/>
      <c r="D10" s="36"/>
      <c r="E10" s="31"/>
      <c r="F10" s="30"/>
      <c r="G10" s="30"/>
    </row>
    <row r="11" customFormat="false" ht="43.5" hidden="false" customHeight="true" outlineLevel="0" collapsed="false">
      <c r="A11" s="34"/>
      <c r="B11" s="30"/>
      <c r="C11" s="31"/>
      <c r="D11" s="36"/>
      <c r="E11" s="31"/>
      <c r="F11" s="30"/>
      <c r="G11" s="30"/>
    </row>
    <row r="12" customFormat="false" ht="43.5" hidden="false" customHeight="true" outlineLevel="0" collapsed="false">
      <c r="A12" s="14"/>
      <c r="B12" s="30"/>
      <c r="C12" s="31"/>
      <c r="D12" s="36"/>
      <c r="E12" s="31"/>
      <c r="F12" s="30"/>
      <c r="G12" s="30"/>
    </row>
    <row r="13" customFormat="false" ht="43.5" hidden="false" customHeight="true" outlineLevel="0" collapsed="false">
      <c r="A13" s="34"/>
      <c r="B13" s="30"/>
      <c r="C13" s="31"/>
      <c r="D13" s="36"/>
      <c r="E13" s="31"/>
      <c r="F13" s="30"/>
      <c r="G13" s="30"/>
    </row>
    <row r="14" customFormat="false" ht="43.5" hidden="false" customHeight="true" outlineLevel="0" collapsed="false">
      <c r="A14" s="14"/>
      <c r="B14" s="30"/>
      <c r="C14" s="31"/>
      <c r="D14" s="36"/>
      <c r="E14" s="31"/>
      <c r="F14" s="30"/>
      <c r="G14" s="30"/>
    </row>
    <row r="15" customFormat="false" ht="43.5" hidden="false" customHeight="true" outlineLevel="0" collapsed="false">
      <c r="A15" s="34"/>
      <c r="B15" s="30"/>
      <c r="C15" s="31"/>
      <c r="D15" s="36"/>
      <c r="E15" s="31"/>
      <c r="F15" s="30"/>
      <c r="G15" s="30"/>
    </row>
    <row r="16" customFormat="false" ht="43.5" hidden="false" customHeight="true" outlineLevel="0" collapsed="false">
      <c r="A16" s="14"/>
      <c r="B16" s="30"/>
      <c r="C16" s="31"/>
      <c r="D16" s="36"/>
      <c r="E16" s="31"/>
      <c r="F16" s="30"/>
      <c r="G16" s="30"/>
    </row>
    <row r="17" customFormat="false" ht="43.5" hidden="false" customHeight="true" outlineLevel="0" collapsed="false">
      <c r="A17" s="34"/>
      <c r="B17" s="30"/>
      <c r="C17" s="31"/>
      <c r="D17" s="36"/>
      <c r="E17" s="31"/>
      <c r="F17" s="30"/>
      <c r="G17" s="30"/>
    </row>
    <row r="18" customFormat="false" ht="43.5" hidden="false" customHeight="true" outlineLevel="0" collapsed="false">
      <c r="A18" s="14"/>
      <c r="B18" s="30"/>
      <c r="C18" s="31"/>
      <c r="D18" s="36"/>
      <c r="E18" s="31"/>
      <c r="F18" s="30"/>
      <c r="G18" s="30"/>
    </row>
    <row r="19" customFormat="false" ht="43.5" hidden="false" customHeight="true" outlineLevel="0" collapsed="false">
      <c r="A19" s="34"/>
      <c r="B19" s="30"/>
      <c r="C19" s="31"/>
      <c r="D19" s="36"/>
      <c r="E19" s="31"/>
      <c r="F19" s="30"/>
      <c r="G19" s="30"/>
    </row>
    <row r="20" customFormat="false" ht="43.5" hidden="false" customHeight="true" outlineLevel="0" collapsed="false">
      <c r="A20" s="14"/>
      <c r="B20" s="30"/>
      <c r="C20" s="31"/>
      <c r="D20" s="36"/>
      <c r="E20" s="31"/>
      <c r="F20" s="30"/>
      <c r="G20" s="30"/>
    </row>
    <row r="21" customFormat="false" ht="43.5" hidden="false" customHeight="true" outlineLevel="0" collapsed="false">
      <c r="A21" s="34"/>
      <c r="B21" s="30"/>
      <c r="C21" s="31"/>
      <c r="D21" s="36"/>
      <c r="E21" s="31"/>
      <c r="F21" s="30"/>
      <c r="G21" s="30"/>
    </row>
    <row r="22" customFormat="false" ht="43.5" hidden="false" customHeight="true" outlineLevel="0" collapsed="false">
      <c r="A22" s="14"/>
      <c r="B22" s="30"/>
      <c r="C22" s="31"/>
      <c r="D22" s="36"/>
      <c r="E22" s="31"/>
      <c r="F22" s="30"/>
      <c r="G22" s="30"/>
    </row>
    <row r="23" customFormat="false" ht="43.5" hidden="false" customHeight="true" outlineLevel="0" collapsed="false">
      <c r="A23" s="34"/>
      <c r="B23" s="30"/>
      <c r="C23" s="31"/>
      <c r="D23" s="36"/>
      <c r="E23" s="31"/>
      <c r="F23" s="30"/>
      <c r="G23" s="30"/>
    </row>
    <row r="24" customFormat="false" ht="43.5" hidden="false" customHeight="true" outlineLevel="0" collapsed="false">
      <c r="A24" s="14"/>
      <c r="B24" s="30"/>
      <c r="C24" s="31"/>
      <c r="D24" s="36"/>
      <c r="E24" s="31"/>
      <c r="F24" s="30"/>
      <c r="G24" s="30"/>
    </row>
    <row r="25" customFormat="false" ht="43.5" hidden="false" customHeight="true" outlineLevel="0" collapsed="false">
      <c r="A25" s="34"/>
      <c r="B25" s="30"/>
      <c r="C25" s="31"/>
      <c r="D25" s="36"/>
      <c r="E25" s="31"/>
      <c r="F25" s="30"/>
      <c r="G25" s="30"/>
    </row>
    <row r="27" customFormat="false" ht="30" hidden="false" customHeight="true" outlineLevel="0" collapsed="false">
      <c r="A27" s="25" t="s">
        <v>51</v>
      </c>
      <c r="B27" s="25"/>
      <c r="C27" s="25"/>
      <c r="D27" s="25"/>
      <c r="E27" s="25"/>
      <c r="F27" s="25"/>
      <c r="G27" s="25"/>
    </row>
  </sheetData>
  <mergeCells count="2">
    <mergeCell ref="A1:G1"/>
    <mergeCell ref="A27:G27"/>
  </mergeCells>
  <conditionalFormatting sqref="E3:E50">
    <cfRule type="cellIs" priority="2" operator="equal" aboveAverage="0" equalAverage="0" bottom="0" percent="0" rank="0" text="" dxfId="0">
      <formula>"〇"</formula>
    </cfRule>
    <cfRule type="cellIs" priority="3" operator="equal" aboveAverage="0" equalAverage="0" bottom="0" percent="0" rank="0" text="" dxfId="1">
      <formula>"×"</formula>
    </cfRule>
    <cfRule type="cellIs" priority="4" operator="equal" aboveAverage="0" equalAverage="0" bottom="0" percent="0" rank="0" text="" dxfId="2">
      <formula>"△"</formula>
    </cfRule>
  </conditionalFormatting>
  <dataValidations count="2">
    <dataValidation allowBlank="false" errorStyle="stop" operator="between" showDropDown="false" showErrorMessage="false" showInputMessage="false" sqref="E3:E50" type="list">
      <formula1>"〇,△,×"</formula1>
      <formula2>0</formula2>
    </dataValidation>
    <dataValidation allowBlank="false" errorStyle="stop" operator="between" showDropDown="false" showErrorMessage="false" showInputMessage="false" sqref="C3:C50" type="list">
      <formula1>"買い,売り,保有継続,一部売り,一部買い増し,様子見"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2026-03-21T13:09:39Z</dcterms:created>
  <dc:creator>openpyxl</dc:creator>
  <dc:description/>
  <dc:language>en-US</dc:language>
  <cp:lastModifiedBy/>
  <dcterms:modified xsi:type="dcterms:W3CDTF">2026-03-21T13:10:02Z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